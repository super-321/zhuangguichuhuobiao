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770" windowHeight="7890" tabRatio="18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Sheet1!$A$4:$X$4</definedName>
  </definedNames>
  <calcPr calcId="125725"/>
</workbook>
</file>

<file path=xl/calcChain.xml><?xml version="1.0" encoding="utf-8"?>
<calcChain xmlns="http://schemas.openxmlformats.org/spreadsheetml/2006/main">
  <c r="H21" i="1"/>
  <c r="T21" s="1"/>
  <c r="U21" s="1"/>
  <c r="H122"/>
  <c r="R122" s="1"/>
  <c r="H131"/>
  <c r="T131" s="1"/>
  <c r="U131" s="1"/>
  <c r="H130"/>
  <c r="R130" s="1"/>
  <c r="H129"/>
  <c r="T129" s="1"/>
  <c r="U129" s="1"/>
  <c r="H125"/>
  <c r="T125" s="1"/>
  <c r="U125" s="1"/>
  <c r="H133"/>
  <c r="T133" s="1"/>
  <c r="U133" s="1"/>
  <c r="H132"/>
  <c r="T132" s="1"/>
  <c r="U132" s="1"/>
  <c r="H118"/>
  <c r="T118" s="1"/>
  <c r="U118" s="1"/>
  <c r="H126"/>
  <c r="T126" s="1"/>
  <c r="U126" s="1"/>
  <c r="H123"/>
  <c r="T123" s="1"/>
  <c r="U123" s="1"/>
  <c r="H119"/>
  <c r="T119" s="1"/>
  <c r="U119" s="1"/>
  <c r="H127"/>
  <c r="T127" s="1"/>
  <c r="U127" s="1"/>
  <c r="H124"/>
  <c r="T124" s="1"/>
  <c r="U124" s="1"/>
  <c r="H96"/>
  <c r="T96" s="1"/>
  <c r="U96" s="1"/>
  <c r="H113"/>
  <c r="T113" s="1"/>
  <c r="U113" s="1"/>
  <c r="H105"/>
  <c r="T105" s="1"/>
  <c r="U105" s="1"/>
  <c r="H73"/>
  <c r="T73" s="1"/>
  <c r="U73" s="1"/>
  <c r="H74"/>
  <c r="T74" s="1"/>
  <c r="U74" s="1"/>
  <c r="H78"/>
  <c r="T78" s="1"/>
  <c r="U78" s="1"/>
  <c r="H79"/>
  <c r="T79" s="1"/>
  <c r="U79" s="1"/>
  <c r="H77"/>
  <c r="T77" s="1"/>
  <c r="U77" s="1"/>
  <c r="H75"/>
  <c r="T75" s="1"/>
  <c r="U75" s="1"/>
  <c r="H76"/>
  <c r="T76" s="1"/>
  <c r="U76" s="1"/>
  <c r="H117"/>
  <c r="T117" s="1"/>
  <c r="U117" s="1"/>
  <c r="H120"/>
  <c r="T120" s="1"/>
  <c r="U120" s="1"/>
  <c r="H128"/>
  <c r="T128" s="1"/>
  <c r="U128" s="1"/>
  <c r="H116"/>
  <c r="T116" s="1"/>
  <c r="U116" s="1"/>
  <c r="H121"/>
  <c r="T121" s="1"/>
  <c r="U121" s="1"/>
  <c r="H147"/>
  <c r="T147" s="1"/>
  <c r="U147" s="1"/>
  <c r="H72"/>
  <c r="T72" s="1"/>
  <c r="U72" s="1"/>
  <c r="H70"/>
  <c r="T70" s="1"/>
  <c r="U70" s="1"/>
  <c r="H71"/>
  <c r="T71" s="1"/>
  <c r="U71" s="1"/>
  <c r="H138"/>
  <c r="T138" s="1"/>
  <c r="U138" s="1"/>
  <c r="H144"/>
  <c r="T144" s="1"/>
  <c r="U144" s="1"/>
  <c r="H142"/>
  <c r="T142" s="1"/>
  <c r="U142" s="1"/>
  <c r="H140"/>
  <c r="T140" s="1"/>
  <c r="U140" s="1"/>
  <c r="H143"/>
  <c r="T143" s="1"/>
  <c r="U143" s="1"/>
  <c r="H141"/>
  <c r="T141" s="1"/>
  <c r="U141" s="1"/>
  <c r="H139"/>
  <c r="T139" s="1"/>
  <c r="U139" s="1"/>
  <c r="H183"/>
  <c r="T183" s="1"/>
  <c r="U183" s="1"/>
  <c r="H180"/>
  <c r="T180" s="1"/>
  <c r="U180" s="1"/>
  <c r="H178"/>
  <c r="T178" s="1"/>
  <c r="U178" s="1"/>
  <c r="H184"/>
  <c r="T184" s="1"/>
  <c r="U184" s="1"/>
  <c r="H181"/>
  <c r="T181" s="1"/>
  <c r="U181" s="1"/>
  <c r="H179"/>
  <c r="T179" s="1"/>
  <c r="U179" s="1"/>
  <c r="H182"/>
  <c r="T182" s="1"/>
  <c r="U182" s="1"/>
  <c r="H95"/>
  <c r="T95" s="1"/>
  <c r="U95" s="1"/>
  <c r="H94"/>
  <c r="T94" s="1"/>
  <c r="U94" s="1"/>
  <c r="H115"/>
  <c r="T115" s="1"/>
  <c r="U115" s="1"/>
  <c r="H146"/>
  <c r="T146" s="1"/>
  <c r="U146" s="1"/>
  <c r="H63"/>
  <c r="T63" s="1"/>
  <c r="U63" s="1"/>
  <c r="H64"/>
  <c r="T64" s="1"/>
  <c r="U64" s="1"/>
  <c r="H65"/>
  <c r="T65" s="1"/>
  <c r="U65" s="1"/>
  <c r="H67"/>
  <c r="T67" s="1"/>
  <c r="U67" s="1"/>
  <c r="H66"/>
  <c r="T66" s="1"/>
  <c r="U66" s="1"/>
  <c r="H69"/>
  <c r="T69" s="1"/>
  <c r="U69" s="1"/>
  <c r="H68"/>
  <c r="T68" s="1"/>
  <c r="U68" s="1"/>
  <c r="H53"/>
  <c r="T53" s="1"/>
  <c r="U53" s="1"/>
  <c r="H40"/>
  <c r="T40" s="1"/>
  <c r="U40" s="1"/>
  <c r="H38"/>
  <c r="T38" s="1"/>
  <c r="U38" s="1"/>
  <c r="H41"/>
  <c r="T41" s="1"/>
  <c r="U41" s="1"/>
  <c r="H39"/>
  <c r="T39" s="1"/>
  <c r="U39" s="1"/>
  <c r="H37"/>
  <c r="T37" s="1"/>
  <c r="U37" s="1"/>
  <c r="H36"/>
  <c r="T36" s="1"/>
  <c r="U36" s="1"/>
  <c r="H35"/>
  <c r="T35" s="1"/>
  <c r="U35" s="1"/>
  <c r="H46"/>
  <c r="T46" s="1"/>
  <c r="U46" s="1"/>
  <c r="H145"/>
  <c r="T145" s="1"/>
  <c r="U145" s="1"/>
  <c r="H25"/>
  <c r="T25" s="1"/>
  <c r="U25" s="1"/>
  <c r="H47"/>
  <c r="T47" s="1"/>
  <c r="U47" s="1"/>
  <c r="H48"/>
  <c r="T48" s="1"/>
  <c r="U48" s="1"/>
  <c r="H135"/>
  <c r="T135" s="1"/>
  <c r="U135" s="1"/>
  <c r="H134"/>
  <c r="T134" s="1"/>
  <c r="U134" s="1"/>
  <c r="H137"/>
  <c r="T137" s="1"/>
  <c r="U137" s="1"/>
  <c r="H136"/>
  <c r="T136" s="1"/>
  <c r="U136" s="1"/>
  <c r="H176"/>
  <c r="T176" s="1"/>
  <c r="U176" s="1"/>
  <c r="H175"/>
  <c r="R175" s="1"/>
  <c r="H174"/>
  <c r="T174" s="1"/>
  <c r="U174" s="1"/>
  <c r="H173"/>
  <c r="T173" s="1"/>
  <c r="U173" s="1"/>
  <c r="H172"/>
  <c r="T172" s="1"/>
  <c r="U172" s="1"/>
  <c r="H34"/>
  <c r="T34" s="1"/>
  <c r="U34" s="1"/>
  <c r="H33"/>
  <c r="T33" s="1"/>
  <c r="U33" s="1"/>
  <c r="H32"/>
  <c r="T32" s="1"/>
  <c r="U32" s="1"/>
  <c r="H31"/>
  <c r="T31" s="1"/>
  <c r="U31" s="1"/>
  <c r="H30"/>
  <c r="T30" s="1"/>
  <c r="U30" s="1"/>
  <c r="H29"/>
  <c r="T29" s="1"/>
  <c r="U29" s="1"/>
  <c r="H11"/>
  <c r="T11" s="1"/>
  <c r="U11" s="1"/>
  <c r="H14"/>
  <c r="T14" s="1"/>
  <c r="U14" s="1"/>
  <c r="H13"/>
  <c r="T13" s="1"/>
  <c r="U13" s="1"/>
  <c r="H12"/>
  <c r="T12" s="1"/>
  <c r="U12" s="1"/>
  <c r="H10"/>
  <c r="T10" s="1"/>
  <c r="U10" s="1"/>
  <c r="H27"/>
  <c r="T27" s="1"/>
  <c r="U27" s="1"/>
  <c r="H26"/>
  <c r="R26" s="1"/>
  <c r="H24"/>
  <c r="T24" s="1"/>
  <c r="U24" s="1"/>
  <c r="H23"/>
  <c r="T23" s="1"/>
  <c r="U23" s="1"/>
  <c r="H22"/>
  <c r="T22" s="1"/>
  <c r="U22" s="1"/>
  <c r="H20"/>
  <c r="T20" s="1"/>
  <c r="U20" s="1"/>
  <c r="H19"/>
  <c r="T19" s="1"/>
  <c r="U19" s="1"/>
  <c r="H18"/>
  <c r="T18" s="1"/>
  <c r="U18" s="1"/>
  <c r="H17"/>
  <c r="T17" s="1"/>
  <c r="U17" s="1"/>
  <c r="H16"/>
  <c r="T16" s="1"/>
  <c r="U16" s="1"/>
  <c r="H15"/>
  <c r="T15" s="1"/>
  <c r="U15" s="1"/>
  <c r="H28"/>
  <c r="T28" s="1"/>
  <c r="U28" s="1"/>
  <c r="H169"/>
  <c r="R169" s="1"/>
  <c r="H171"/>
  <c r="T171" s="1"/>
  <c r="U171" s="1"/>
  <c r="H170"/>
  <c r="T170" s="1"/>
  <c r="U170" s="1"/>
  <c r="H151"/>
  <c r="R151" s="1"/>
  <c r="H167"/>
  <c r="T167" s="1"/>
  <c r="U167" s="1"/>
  <c r="H164"/>
  <c r="T164" s="1"/>
  <c r="U164" s="1"/>
  <c r="H161"/>
  <c r="T161" s="1"/>
  <c r="U161" s="1"/>
  <c r="H149"/>
  <c r="T149" s="1"/>
  <c r="U149" s="1"/>
  <c r="H165"/>
  <c r="T165" s="1"/>
  <c r="U165" s="1"/>
  <c r="H162"/>
  <c r="T162" s="1"/>
  <c r="U162" s="1"/>
  <c r="H159"/>
  <c r="T159" s="1"/>
  <c r="U159" s="1"/>
  <c r="H157"/>
  <c r="T157" s="1"/>
  <c r="U157" s="1"/>
  <c r="H156"/>
  <c r="T156" s="1"/>
  <c r="U156" s="1"/>
  <c r="H154"/>
  <c r="T154" s="1"/>
  <c r="U154" s="1"/>
  <c r="H152"/>
  <c r="T152" s="1"/>
  <c r="U152" s="1"/>
  <c r="H168"/>
  <c r="T168" s="1"/>
  <c r="U168" s="1"/>
  <c r="H155"/>
  <c r="T155" s="1"/>
  <c r="U155" s="1"/>
  <c r="H153"/>
  <c r="R153" s="1"/>
  <c r="H150"/>
  <c r="T150" s="1"/>
  <c r="U150" s="1"/>
  <c r="H166"/>
  <c r="T166" s="1"/>
  <c r="U166" s="1"/>
  <c r="H163"/>
  <c r="T163" s="1"/>
  <c r="U163" s="1"/>
  <c r="H160"/>
  <c r="T160" s="1"/>
  <c r="U160" s="1"/>
  <c r="H158"/>
  <c r="T158" s="1"/>
  <c r="U158" s="1"/>
  <c r="H62"/>
  <c r="T62" s="1"/>
  <c r="U62" s="1"/>
  <c r="H59"/>
  <c r="T59" s="1"/>
  <c r="U59" s="1"/>
  <c r="H54"/>
  <c r="T54" s="1"/>
  <c r="U54" s="1"/>
  <c r="H58"/>
  <c r="T58" s="1"/>
  <c r="U58" s="1"/>
  <c r="H57"/>
  <c r="T57" s="1"/>
  <c r="U57" s="1"/>
  <c r="H55"/>
  <c r="T55" s="1"/>
  <c r="U55" s="1"/>
  <c r="H56"/>
  <c r="R56" s="1"/>
  <c r="H61"/>
  <c r="T61" s="1"/>
  <c r="U61" s="1"/>
  <c r="H60"/>
  <c r="T60" s="1"/>
  <c r="U60" s="1"/>
  <c r="H177"/>
  <c r="T177" s="1"/>
  <c r="U177" s="1"/>
  <c r="H110"/>
  <c r="T110" s="1"/>
  <c r="U110" s="1"/>
  <c r="H103"/>
  <c r="T103" s="1"/>
  <c r="U103" s="1"/>
  <c r="H107"/>
  <c r="T107" s="1"/>
  <c r="U107" s="1"/>
  <c r="H100"/>
  <c r="T100" s="1"/>
  <c r="U100" s="1"/>
  <c r="H98"/>
  <c r="R98" s="1"/>
  <c r="H102"/>
  <c r="T102" s="1"/>
  <c r="U102" s="1"/>
  <c r="H109"/>
  <c r="T109" s="1"/>
  <c r="U109" s="1"/>
  <c r="H101"/>
  <c r="T101" s="1"/>
  <c r="U101" s="1"/>
  <c r="H108"/>
  <c r="T108" s="1"/>
  <c r="U108" s="1"/>
  <c r="H97"/>
  <c r="T97" s="1"/>
  <c r="U97" s="1"/>
  <c r="H99"/>
  <c r="T99" s="1"/>
  <c r="U99" s="1"/>
  <c r="H104"/>
  <c r="T104" s="1"/>
  <c r="U104" s="1"/>
  <c r="H111"/>
  <c r="T111" s="1"/>
  <c r="U111" s="1"/>
  <c r="H106"/>
  <c r="T106" s="1"/>
  <c r="U106" s="1"/>
  <c r="H112"/>
  <c r="T112" s="1"/>
  <c r="U112" s="1"/>
  <c r="H114"/>
  <c r="T114" s="1"/>
  <c r="U114" s="1"/>
  <c r="H88"/>
  <c r="T88" s="1"/>
  <c r="U88" s="1"/>
  <c r="H80"/>
  <c r="T80" s="1"/>
  <c r="U80" s="1"/>
  <c r="H93"/>
  <c r="T93" s="1"/>
  <c r="U93" s="1"/>
  <c r="H85"/>
  <c r="T85" s="1"/>
  <c r="U85" s="1"/>
  <c r="H92"/>
  <c r="T92" s="1"/>
  <c r="U92" s="1"/>
  <c r="H90"/>
  <c r="T90" s="1"/>
  <c r="U90" s="1"/>
  <c r="H87"/>
  <c r="T87" s="1"/>
  <c r="U87" s="1"/>
  <c r="H91"/>
  <c r="T91" s="1"/>
  <c r="U91" s="1"/>
  <c r="H83"/>
  <c r="T83" s="1"/>
  <c r="U83" s="1"/>
  <c r="H84"/>
  <c r="T84" s="1"/>
  <c r="U84" s="1"/>
  <c r="H81"/>
  <c r="T81" s="1"/>
  <c r="U81" s="1"/>
  <c r="H82"/>
  <c r="T82" s="1"/>
  <c r="U82" s="1"/>
  <c r="H89"/>
  <c r="T89" s="1"/>
  <c r="U89" s="1"/>
  <c r="H86"/>
  <c r="T86" s="1"/>
  <c r="U86" s="1"/>
  <c r="H6"/>
  <c r="T6" s="1"/>
  <c r="U6" s="1"/>
  <c r="H45"/>
  <c r="T45" s="1"/>
  <c r="U45" s="1"/>
  <c r="H9"/>
  <c r="T9" s="1"/>
  <c r="U9" s="1"/>
  <c r="H8"/>
  <c r="T8" s="1"/>
  <c r="U8" s="1"/>
  <c r="H5"/>
  <c r="T5" s="1"/>
  <c r="U5" s="1"/>
  <c r="H7"/>
  <c r="T7" s="1"/>
  <c r="U7" s="1"/>
  <c r="H148"/>
  <c r="T148" s="1"/>
  <c r="U148" s="1"/>
  <c r="H42"/>
  <c r="T42" s="1"/>
  <c r="U42" s="1"/>
  <c r="H44"/>
  <c r="T44" s="1"/>
  <c r="U44" s="1"/>
  <c r="H43"/>
  <c r="T43" s="1"/>
  <c r="U43" s="1"/>
  <c r="H51"/>
  <c r="T51" s="1"/>
  <c r="U51" s="1"/>
  <c r="H52"/>
  <c r="T52" s="1"/>
  <c r="U52" s="1"/>
  <c r="H50"/>
  <c r="T50" s="1"/>
  <c r="U50" s="1"/>
  <c r="H49"/>
  <c r="T49" s="1"/>
  <c r="U49" s="1"/>
  <c r="R21" l="1"/>
  <c r="P21"/>
  <c r="P122"/>
  <c r="T122"/>
  <c r="U122" s="1"/>
  <c r="R131"/>
  <c r="P131"/>
  <c r="T130"/>
  <c r="U130" s="1"/>
  <c r="P130"/>
  <c r="R129"/>
  <c r="P129"/>
  <c r="R125"/>
  <c r="P125"/>
  <c r="R133"/>
  <c r="P133"/>
  <c r="R132"/>
  <c r="P132"/>
  <c r="R118"/>
  <c r="P118"/>
  <c r="R126"/>
  <c r="P126"/>
  <c r="R123"/>
  <c r="P123"/>
  <c r="R119"/>
  <c r="P119"/>
  <c r="R127"/>
  <c r="P127"/>
  <c r="R124"/>
  <c r="P124"/>
  <c r="R96"/>
  <c r="P96"/>
  <c r="R113"/>
  <c r="P113"/>
  <c r="R105"/>
  <c r="P105"/>
  <c r="R73"/>
  <c r="P73"/>
  <c r="R74"/>
  <c r="P74"/>
  <c r="R78"/>
  <c r="P78"/>
  <c r="P79"/>
  <c r="R79"/>
  <c r="R77"/>
  <c r="P77"/>
  <c r="R75"/>
  <c r="P75"/>
  <c r="R76"/>
  <c r="P76"/>
  <c r="R117"/>
  <c r="P117"/>
  <c r="R120"/>
  <c r="P120"/>
  <c r="R128"/>
  <c r="P128"/>
  <c r="R116"/>
  <c r="P116"/>
  <c r="R121"/>
  <c r="P121"/>
  <c r="R147"/>
  <c r="P147"/>
  <c r="R72"/>
  <c r="P72"/>
  <c r="R70"/>
  <c r="P70"/>
  <c r="R71"/>
  <c r="P71"/>
  <c r="R138"/>
  <c r="P138"/>
  <c r="R144"/>
  <c r="P144"/>
  <c r="R142"/>
  <c r="P142"/>
  <c r="R140"/>
  <c r="P140"/>
  <c r="R143"/>
  <c r="P143"/>
  <c r="R141"/>
  <c r="P141"/>
  <c r="R139"/>
  <c r="P139"/>
  <c r="R183"/>
  <c r="P183"/>
  <c r="R180"/>
  <c r="P180"/>
  <c r="R178"/>
  <c r="P178"/>
  <c r="R184"/>
  <c r="P184"/>
  <c r="R181"/>
  <c r="P181"/>
  <c r="R179"/>
  <c r="P179"/>
  <c r="R182"/>
  <c r="P182"/>
  <c r="R95"/>
  <c r="P95"/>
  <c r="R94"/>
  <c r="P94"/>
  <c r="R115"/>
  <c r="P115"/>
  <c r="R146"/>
  <c r="P146"/>
  <c r="R63"/>
  <c r="P63"/>
  <c r="R64"/>
  <c r="P64"/>
  <c r="R65"/>
  <c r="P65"/>
  <c r="R67"/>
  <c r="P67"/>
  <c r="R66"/>
  <c r="P66"/>
  <c r="R69"/>
  <c r="P69"/>
  <c r="R68"/>
  <c r="P68"/>
  <c r="R53"/>
  <c r="P53"/>
  <c r="R40"/>
  <c r="P40"/>
  <c r="R38"/>
  <c r="P38"/>
  <c r="R41"/>
  <c r="P41"/>
  <c r="R39"/>
  <c r="P39"/>
  <c r="R37"/>
  <c r="P37"/>
  <c r="R36"/>
  <c r="P36"/>
  <c r="R35"/>
  <c r="P35"/>
  <c r="R46"/>
  <c r="P46"/>
  <c r="R145"/>
  <c r="P145"/>
  <c r="R25"/>
  <c r="P25"/>
  <c r="R47"/>
  <c r="P47"/>
  <c r="R48"/>
  <c r="P48"/>
  <c r="R135"/>
  <c r="P135"/>
  <c r="R134"/>
  <c r="P134"/>
  <c r="R137"/>
  <c r="P137"/>
  <c r="R136"/>
  <c r="P136"/>
  <c r="R176"/>
  <c r="P176"/>
  <c r="T175"/>
  <c r="U175" s="1"/>
  <c r="P175"/>
  <c r="R174"/>
  <c r="P174"/>
  <c r="R173"/>
  <c r="P173"/>
  <c r="R172"/>
  <c r="P172"/>
  <c r="R34"/>
  <c r="P34"/>
  <c r="R33"/>
  <c r="P33"/>
  <c r="R32"/>
  <c r="P32"/>
  <c r="R31"/>
  <c r="P31"/>
  <c r="R30"/>
  <c r="P30"/>
  <c r="R29"/>
  <c r="P29"/>
  <c r="R11"/>
  <c r="P11"/>
  <c r="R14"/>
  <c r="P14"/>
  <c r="R13"/>
  <c r="P13"/>
  <c r="R12"/>
  <c r="P12"/>
  <c r="R10"/>
  <c r="P10"/>
  <c r="R27"/>
  <c r="P27"/>
  <c r="T26"/>
  <c r="U26" s="1"/>
  <c r="P26"/>
  <c r="R24"/>
  <c r="P24"/>
  <c r="R23"/>
  <c r="P23"/>
  <c r="R22"/>
  <c r="P22"/>
  <c r="R20"/>
  <c r="P20"/>
  <c r="R19"/>
  <c r="P19"/>
  <c r="R18"/>
  <c r="P18"/>
  <c r="R17"/>
  <c r="P17"/>
  <c r="R16"/>
  <c r="P16"/>
  <c r="R15"/>
  <c r="P15"/>
  <c r="R28"/>
  <c r="P28"/>
  <c r="T169"/>
  <c r="U169" s="1"/>
  <c r="P169"/>
  <c r="R171"/>
  <c r="P171"/>
  <c r="R170"/>
  <c r="P170"/>
  <c r="T151"/>
  <c r="U151" s="1"/>
  <c r="P151"/>
  <c r="R167"/>
  <c r="P167"/>
  <c r="R164"/>
  <c r="P164"/>
  <c r="R161"/>
  <c r="P161"/>
  <c r="R149"/>
  <c r="P149"/>
  <c r="R165"/>
  <c r="P165"/>
  <c r="R162"/>
  <c r="P162"/>
  <c r="R159"/>
  <c r="P159"/>
  <c r="R157"/>
  <c r="P157"/>
  <c r="R156"/>
  <c r="P156"/>
  <c r="R154"/>
  <c r="P154"/>
  <c r="R152"/>
  <c r="P152"/>
  <c r="R168"/>
  <c r="P168"/>
  <c r="R155"/>
  <c r="P155"/>
  <c r="T153"/>
  <c r="U153" s="1"/>
  <c r="P153"/>
  <c r="R150"/>
  <c r="P150"/>
  <c r="R166"/>
  <c r="P166"/>
  <c r="R163"/>
  <c r="P163"/>
  <c r="R160"/>
  <c r="P160"/>
  <c r="R158"/>
  <c r="P158"/>
  <c r="R62"/>
  <c r="P62"/>
  <c r="R59"/>
  <c r="P59"/>
  <c r="R54"/>
  <c r="P54"/>
  <c r="R58"/>
  <c r="P58"/>
  <c r="R57"/>
  <c r="P57"/>
  <c r="R55"/>
  <c r="P55"/>
  <c r="T56"/>
  <c r="U56" s="1"/>
  <c r="P56"/>
  <c r="R61"/>
  <c r="P61"/>
  <c r="R60"/>
  <c r="P60"/>
  <c r="R177"/>
  <c r="P177"/>
  <c r="R110"/>
  <c r="P110"/>
  <c r="R103"/>
  <c r="P103"/>
  <c r="R107"/>
  <c r="P107"/>
  <c r="R100"/>
  <c r="P100"/>
  <c r="T98"/>
  <c r="U98" s="1"/>
  <c r="P98"/>
  <c r="R102"/>
  <c r="P102"/>
  <c r="R109"/>
  <c r="P109"/>
  <c r="R101"/>
  <c r="P101"/>
  <c r="R108"/>
  <c r="P108"/>
  <c r="R97"/>
  <c r="P97"/>
  <c r="R99"/>
  <c r="P99"/>
  <c r="R104"/>
  <c r="P104"/>
  <c r="R111"/>
  <c r="P111"/>
  <c r="R106"/>
  <c r="P106"/>
  <c r="R112"/>
  <c r="P112"/>
  <c r="R114"/>
  <c r="P114"/>
  <c r="R88"/>
  <c r="P88"/>
  <c r="R80"/>
  <c r="P80"/>
  <c r="R93"/>
  <c r="P93"/>
  <c r="R85"/>
  <c r="P85"/>
  <c r="R92"/>
  <c r="P92"/>
  <c r="R90"/>
  <c r="P90"/>
  <c r="R87"/>
  <c r="P87"/>
  <c r="R91"/>
  <c r="P91"/>
  <c r="R83"/>
  <c r="P83"/>
  <c r="R84"/>
  <c r="P84"/>
  <c r="R81"/>
  <c r="P81"/>
  <c r="R82"/>
  <c r="P82"/>
  <c r="R89"/>
  <c r="P89"/>
  <c r="R86"/>
  <c r="P86"/>
  <c r="R6"/>
  <c r="P6"/>
  <c r="R45"/>
  <c r="P45"/>
  <c r="R9"/>
  <c r="P9"/>
  <c r="R8"/>
  <c r="P8"/>
  <c r="R5"/>
  <c r="P5"/>
  <c r="R7"/>
  <c r="P7"/>
  <c r="R148"/>
  <c r="P148"/>
  <c r="R42"/>
  <c r="P42"/>
  <c r="R44"/>
  <c r="P44"/>
  <c r="R43"/>
  <c r="P43"/>
  <c r="R51"/>
  <c r="P51"/>
  <c r="R52"/>
  <c r="P52"/>
  <c r="R50"/>
  <c r="P50"/>
  <c r="R49"/>
  <c r="P49"/>
</calcChain>
</file>

<file path=xl/sharedStrings.xml><?xml version="1.0" encoding="utf-8"?>
<sst xmlns="http://schemas.openxmlformats.org/spreadsheetml/2006/main" count="755" uniqueCount="402">
  <si>
    <t>外贸预出货清单明细表</t>
    <phoneticPr fontId="4" type="noConversion"/>
  </si>
  <si>
    <t>订单编号:</t>
    <phoneticPr fontId="4" type="noConversion"/>
  </si>
  <si>
    <t>出柜日期：</t>
  </si>
  <si>
    <t>序号</t>
  </si>
  <si>
    <t>物流号</t>
    <phoneticPr fontId="4" type="noConversion"/>
  </si>
  <si>
    <t>客户型号</t>
  </si>
  <si>
    <t>产品名称</t>
  </si>
  <si>
    <t>规格</t>
    <phoneticPr fontId="8"/>
  </si>
  <si>
    <t>出货数量</t>
  </si>
  <si>
    <t>入数</t>
    <phoneticPr fontId="4" type="noConversion"/>
  </si>
  <si>
    <t>箱数</t>
    <phoneticPr fontId="4" type="noConversion"/>
  </si>
  <si>
    <r>
      <t>B</t>
    </r>
    <r>
      <rPr>
        <sz val="12"/>
        <rFont val="宋体"/>
        <charset val="134"/>
      </rPr>
      <t>柜</t>
    </r>
    <phoneticPr fontId="4" type="noConversion"/>
  </si>
  <si>
    <r>
      <t>C</t>
    </r>
    <r>
      <rPr>
        <sz val="12"/>
        <rFont val="宋体"/>
        <charset val="134"/>
      </rPr>
      <t>柜</t>
    </r>
    <phoneticPr fontId="4" type="noConversion"/>
  </si>
  <si>
    <r>
      <t>D</t>
    </r>
    <r>
      <rPr>
        <sz val="12"/>
        <rFont val="宋体"/>
        <charset val="134"/>
      </rPr>
      <t>柜</t>
    </r>
    <phoneticPr fontId="4" type="noConversion"/>
  </si>
  <si>
    <r>
      <t>E</t>
    </r>
    <r>
      <rPr>
        <sz val="12"/>
        <rFont val="宋体"/>
        <charset val="134"/>
      </rPr>
      <t>柜</t>
    </r>
    <phoneticPr fontId="4" type="noConversion"/>
  </si>
  <si>
    <r>
      <t>F</t>
    </r>
    <r>
      <rPr>
        <sz val="12"/>
        <rFont val="宋体"/>
        <charset val="134"/>
      </rPr>
      <t>柜</t>
    </r>
    <phoneticPr fontId="4" type="noConversion"/>
  </si>
  <si>
    <t>净重</t>
  </si>
  <si>
    <t>总净重</t>
  </si>
  <si>
    <t>毛重</t>
  </si>
  <si>
    <t>总毛重</t>
  </si>
  <si>
    <t>材积</t>
  </si>
  <si>
    <t>总材积</t>
  </si>
  <si>
    <t>总体积</t>
  </si>
  <si>
    <t>备注</t>
  </si>
  <si>
    <t>开仓日：</t>
    <phoneticPr fontId="8"/>
  </si>
  <si>
    <t>预约到柜时间</t>
  </si>
  <si>
    <t>ETC：</t>
    <phoneticPr fontId="8"/>
  </si>
  <si>
    <t>具体到柜时间</t>
    <phoneticPr fontId="8"/>
  </si>
  <si>
    <t>ETD：</t>
    <phoneticPr fontId="8"/>
  </si>
  <si>
    <t>开始装柜时间</t>
    <phoneticPr fontId="8"/>
  </si>
  <si>
    <t>ETA：</t>
    <phoneticPr fontId="8"/>
  </si>
  <si>
    <t>柜子出厂时间</t>
    <phoneticPr fontId="8"/>
  </si>
  <si>
    <t xml:space="preserve"> </t>
    <phoneticPr fontId="4" type="noConversion"/>
  </si>
  <si>
    <t>销售订单号</t>
    <phoneticPr fontId="3" type="noConversion"/>
  </si>
  <si>
    <r>
      <t>A</t>
    </r>
    <r>
      <rPr>
        <sz val="12"/>
        <rFont val="宋体"/>
        <charset val="134"/>
      </rPr>
      <t>柜</t>
    </r>
    <phoneticPr fontId="4" type="noConversion"/>
  </si>
  <si>
    <t>MG-YW-FOR30A.1</t>
    <phoneticPr fontId="3" type="noConversion"/>
  </si>
  <si>
    <t>美之高科技股份有限公司</t>
    <phoneticPr fontId="4" type="noConversion"/>
  </si>
  <si>
    <t>客户名称： DC(YOKOHAMA)</t>
    <phoneticPr fontId="4" type="noConversion"/>
  </si>
  <si>
    <t>船务流水号 SN009214  柜号:   尺柜:  6*40HQ  封条号:</t>
    <phoneticPr fontId="8"/>
  </si>
  <si>
    <t>EC25-90154</t>
  </si>
  <si>
    <t>家用四层架</t>
  </si>
  <si>
    <t>450*900*1550mm</t>
  </si>
  <si>
    <t>WX-SO0005503</t>
  </si>
  <si>
    <t>EC25-90183</t>
  </si>
  <si>
    <t>家用三层衣架</t>
  </si>
  <si>
    <t>450*900*1800mm</t>
  </si>
  <si>
    <t>EC25-90953</t>
  </si>
  <si>
    <t>家用三层架</t>
  </si>
  <si>
    <t>450*900*950mm</t>
  </si>
  <si>
    <t>EC25-90185</t>
  </si>
  <si>
    <t>家用五层架</t>
  </si>
  <si>
    <t>AEL6045</t>
  </si>
  <si>
    <t>家用开口锥套网片</t>
  </si>
  <si>
    <t>450*600mm</t>
  </si>
  <si>
    <t>AEL7645</t>
  </si>
  <si>
    <t>450*750mm</t>
  </si>
  <si>
    <t>AEL1245</t>
  </si>
  <si>
    <t>450*1200mm</t>
  </si>
  <si>
    <t>PSN6045-IV</t>
  </si>
  <si>
    <t>家用冲孔板</t>
  </si>
  <si>
    <t>25APF-15</t>
  </si>
  <si>
    <t>家用半圆锥套铁管挂钩</t>
  </si>
  <si>
    <t>150mm</t>
  </si>
  <si>
    <t>25AHB-4535</t>
  </si>
  <si>
    <t>家用半圆锥套两锥篮</t>
  </si>
  <si>
    <t>350*450*100mm</t>
  </si>
  <si>
    <t>25ASS-4525</t>
  </si>
  <si>
    <t>家用半圆锥套半圆反网</t>
  </si>
  <si>
    <t>250*450mm</t>
  </si>
  <si>
    <t>25ASS-9025</t>
  </si>
  <si>
    <t>250*900mm</t>
  </si>
  <si>
    <t>AEL9045</t>
  </si>
  <si>
    <t>450*900mm</t>
  </si>
  <si>
    <t>25AKT-2525</t>
  </si>
  <si>
    <t>家用半圆锥套旋转台</t>
  </si>
  <si>
    <t>250*250mm</t>
  </si>
  <si>
    <t>MD6015-4MR</t>
  </si>
  <si>
    <t>迷你微波炉架</t>
  </si>
  <si>
    <t>450*600*1500mm</t>
  </si>
  <si>
    <t>MD6074-3MW</t>
  </si>
  <si>
    <t>迷你三层餐车</t>
  </si>
  <si>
    <t>350*600*750mm</t>
  </si>
  <si>
    <t>MD2090-4W</t>
  </si>
  <si>
    <t>迷你四层收纳推车</t>
  </si>
  <si>
    <t>200*600*950mm</t>
  </si>
  <si>
    <t>MD2015-6W</t>
  </si>
  <si>
    <t>迷你六层收纳推车</t>
  </si>
  <si>
    <t>200*600*1500mm</t>
  </si>
  <si>
    <t>MD3090-4W</t>
  </si>
  <si>
    <t>300*600*950mm</t>
  </si>
  <si>
    <t>MD3015-6W</t>
  </si>
  <si>
    <t>300*600*1500mm</t>
  </si>
  <si>
    <t>MD6080-3B</t>
  </si>
  <si>
    <t>迷你三层书架</t>
  </si>
  <si>
    <t>300*600*750mm</t>
  </si>
  <si>
    <t>MD6015-5B</t>
  </si>
  <si>
    <t>迷你五层书架</t>
  </si>
  <si>
    <t>MD60-7T</t>
  </si>
  <si>
    <t>迷你七层顶天立地架</t>
  </si>
  <si>
    <t>300*600*2200～2800mm</t>
  </si>
  <si>
    <t>MD76-7T</t>
  </si>
  <si>
    <t>300*750*2200～2800mm</t>
  </si>
  <si>
    <t>MD60-10T</t>
  </si>
  <si>
    <t>迷你十层顶天立地架</t>
  </si>
  <si>
    <t>200*600*2150~2800mm</t>
  </si>
  <si>
    <t>MD90-10T</t>
  </si>
  <si>
    <t>200*900*2150~2800mm</t>
  </si>
  <si>
    <t>MD120-10T</t>
  </si>
  <si>
    <t>200*1200*2150~2800mm</t>
  </si>
  <si>
    <t>MD60-5T</t>
  </si>
  <si>
    <t>迷你五层顶天立地架</t>
  </si>
  <si>
    <t>300*600*2200~2800mm</t>
  </si>
  <si>
    <t>MS9045-NB</t>
  </si>
  <si>
    <t>家用木板</t>
  </si>
  <si>
    <t>450*900*5mm</t>
  </si>
  <si>
    <t>MS7645-NB</t>
  </si>
  <si>
    <t>450*750*5mm</t>
  </si>
  <si>
    <t>MS6045-NB</t>
  </si>
  <si>
    <t>450*600*5mm</t>
  </si>
  <si>
    <t>MS7535-NB</t>
  </si>
  <si>
    <t>迷你木板</t>
  </si>
  <si>
    <t>350*750*5mm</t>
  </si>
  <si>
    <t>MS6035-NB</t>
  </si>
  <si>
    <t>350*600*5mm</t>
  </si>
  <si>
    <t>MS5535-NB</t>
  </si>
  <si>
    <t>350*550*5mm</t>
  </si>
  <si>
    <t>MS1245-NB</t>
  </si>
  <si>
    <t>450*1200*5mm</t>
  </si>
  <si>
    <t>MS7535BKWI</t>
  </si>
  <si>
    <t>MS6035BKWI</t>
  </si>
  <si>
    <t>MS7535BZSI</t>
  </si>
  <si>
    <t>MS6035BZSI</t>
  </si>
  <si>
    <t>MS5535BIWI</t>
  </si>
  <si>
    <t>MS6035BIWI</t>
  </si>
  <si>
    <t>MS7535BIWI</t>
  </si>
  <si>
    <t>MS6035MLBC</t>
  </si>
  <si>
    <t>MS7535MLBC</t>
  </si>
  <si>
    <t>WS6012-4BR</t>
  </si>
  <si>
    <t>迷你四层架（带贴皮木板）</t>
  </si>
  <si>
    <t>350*600*1200mm</t>
  </si>
  <si>
    <t>IHL-SLV4S</t>
  </si>
  <si>
    <t>家用黑色夹片</t>
  </si>
  <si>
    <t>IL-090HP</t>
  </si>
  <si>
    <t>家用光身管</t>
  </si>
  <si>
    <t>900mm</t>
  </si>
  <si>
    <t>IHL-CSN2P</t>
  </si>
  <si>
    <t>黑色塑胶轮（无刹）</t>
  </si>
  <si>
    <t>60mm</t>
  </si>
  <si>
    <t>IHL-CSL2P</t>
  </si>
  <si>
    <t>黑色塑胶轮（有刹）</t>
  </si>
  <si>
    <t>IHL-GCL075</t>
  </si>
  <si>
    <t>黑色橡胶轮（有刹）</t>
  </si>
  <si>
    <t>3“</t>
  </si>
  <si>
    <t>IHL-GCL100</t>
  </si>
  <si>
    <t>4“</t>
  </si>
  <si>
    <t>IHL-CN2S</t>
  </si>
  <si>
    <t>家用N型钩</t>
  </si>
  <si>
    <t>IHL-LCN2S</t>
  </si>
  <si>
    <t>家用夹扣</t>
  </si>
  <si>
    <t>IL-A2</t>
  </si>
  <si>
    <t>家用三角铁板调整器</t>
  </si>
  <si>
    <t>SR4545</t>
  </si>
  <si>
    <t>工业网片</t>
  </si>
  <si>
    <t>450*450mm</t>
  </si>
  <si>
    <t>SR6045</t>
  </si>
  <si>
    <t>SR7645</t>
  </si>
  <si>
    <t>SR9045</t>
  </si>
  <si>
    <t>SR1245</t>
  </si>
  <si>
    <t>SR1545</t>
  </si>
  <si>
    <t>450*1500mm</t>
  </si>
  <si>
    <t>SR1845</t>
  </si>
  <si>
    <t>450*1800mm</t>
  </si>
  <si>
    <t>SR9060</t>
  </si>
  <si>
    <t>600*900mm</t>
  </si>
  <si>
    <t>SR1260</t>
  </si>
  <si>
    <t>600*1200mm</t>
  </si>
  <si>
    <t>SR1560</t>
  </si>
  <si>
    <t>600*1500mm</t>
  </si>
  <si>
    <t>SR1860</t>
  </si>
  <si>
    <t>600*1800mm</t>
  </si>
  <si>
    <t>SR1890</t>
  </si>
  <si>
    <t>900*1800mm</t>
  </si>
  <si>
    <t>SR6035</t>
  </si>
  <si>
    <t>350*600mm</t>
  </si>
  <si>
    <t>SR7635</t>
  </si>
  <si>
    <t>350*750mm</t>
  </si>
  <si>
    <t>SR9035</t>
  </si>
  <si>
    <t>350*900mm</t>
  </si>
  <si>
    <t>SR1235</t>
  </si>
  <si>
    <t>350*1200mm</t>
  </si>
  <si>
    <t>SR6045-S</t>
  </si>
  <si>
    <t>工业滑轨网</t>
  </si>
  <si>
    <t>SR7645-S</t>
  </si>
  <si>
    <t>SR9045-S</t>
  </si>
  <si>
    <t>SR1245-S</t>
  </si>
  <si>
    <t>SS4525-H</t>
  </si>
  <si>
    <t>家用半圆反网</t>
  </si>
  <si>
    <t>SS9025-H</t>
  </si>
  <si>
    <t>SS1225-H</t>
  </si>
  <si>
    <t>250*1200mm</t>
  </si>
  <si>
    <t>25SLV</t>
  </si>
  <si>
    <t>25P015</t>
  </si>
  <si>
    <t>家用单管</t>
  </si>
  <si>
    <t>WX-SO0005515</t>
  </si>
  <si>
    <t>25P030</t>
  </si>
  <si>
    <t>300mm</t>
  </si>
  <si>
    <t>25P050</t>
  </si>
  <si>
    <t>500mm</t>
  </si>
  <si>
    <t>WX-SO0005505</t>
  </si>
  <si>
    <t>25P070</t>
  </si>
  <si>
    <t>700mm</t>
  </si>
  <si>
    <t>25P090</t>
  </si>
  <si>
    <t>25P120</t>
  </si>
  <si>
    <t>家用上下连接管</t>
  </si>
  <si>
    <t>1200mm</t>
  </si>
  <si>
    <t>25P150</t>
  </si>
  <si>
    <t>1500mm</t>
  </si>
  <si>
    <t>25P180</t>
  </si>
  <si>
    <t>1800mm</t>
  </si>
  <si>
    <t>25P210</t>
  </si>
  <si>
    <t>2100mm</t>
  </si>
  <si>
    <t>25SB035</t>
  </si>
  <si>
    <t>家用侧片</t>
  </si>
  <si>
    <t>350mm</t>
  </si>
  <si>
    <t>25SB045</t>
  </si>
  <si>
    <t>450mm</t>
  </si>
  <si>
    <t>25DB045</t>
  </si>
  <si>
    <t>家用分隔片</t>
  </si>
  <si>
    <t>25KWB6045</t>
  </si>
  <si>
    <t>家用N型框</t>
  </si>
  <si>
    <t>25KWB7645</t>
  </si>
  <si>
    <t>25KWB9045</t>
  </si>
  <si>
    <t>25KWB1245</t>
  </si>
  <si>
    <t>25WB035</t>
  </si>
  <si>
    <t>家用单支波浪</t>
  </si>
  <si>
    <t>25WB045</t>
  </si>
  <si>
    <t>25WB060</t>
  </si>
  <si>
    <t>600mm</t>
  </si>
  <si>
    <t>25WB076</t>
  </si>
  <si>
    <t>750mm</t>
  </si>
  <si>
    <t>25WB090</t>
  </si>
  <si>
    <t>25WB120</t>
  </si>
  <si>
    <t>WB-F605</t>
  </si>
  <si>
    <t>铁线展示钩</t>
  </si>
  <si>
    <t>50mm</t>
  </si>
  <si>
    <t>WB-F610</t>
  </si>
  <si>
    <t>100mm</t>
  </si>
  <si>
    <t>WB-F615</t>
  </si>
  <si>
    <t>WB-F620</t>
  </si>
  <si>
    <t>200mm</t>
  </si>
  <si>
    <t>WB-F625</t>
  </si>
  <si>
    <t>250mm</t>
  </si>
  <si>
    <t>NT4560</t>
  </si>
  <si>
    <t>家用挂网</t>
  </si>
  <si>
    <t>NT4576</t>
  </si>
  <si>
    <t>NT3560</t>
  </si>
  <si>
    <t>NT3576</t>
  </si>
  <si>
    <t>BS4512</t>
  </si>
  <si>
    <t>家用无锥挂篮</t>
  </si>
  <si>
    <t>400*340*125mm</t>
  </si>
  <si>
    <t>BS3510</t>
  </si>
  <si>
    <t>350*250*125mm</t>
  </si>
  <si>
    <t>25P-2228</t>
  </si>
  <si>
    <t>家用顶天立地管</t>
  </si>
  <si>
    <t>2200～2800mm</t>
  </si>
  <si>
    <t>P25-J</t>
  </si>
  <si>
    <t>家用连接器</t>
  </si>
  <si>
    <t>23*25mm</t>
  </si>
  <si>
    <t>AJ-25R</t>
  </si>
  <si>
    <t>家用上盖+螺旋铁内塞</t>
  </si>
  <si>
    <t>ADD-P2515</t>
  </si>
  <si>
    <t>家用延伸管</t>
  </si>
  <si>
    <t>ADD-P2530</t>
  </si>
  <si>
    <t>ADD-P2545</t>
  </si>
  <si>
    <t>ADD-P2560</t>
  </si>
  <si>
    <t>ADD-P2590</t>
  </si>
  <si>
    <t>ADD-P2545J</t>
  </si>
  <si>
    <t>470～740mm</t>
  </si>
  <si>
    <t>ADD-P2560J</t>
  </si>
  <si>
    <t>620～1000mm</t>
  </si>
  <si>
    <t>IHL-B2P75S</t>
  </si>
  <si>
    <t>工业透明轮子</t>
  </si>
  <si>
    <t>LSK-H20</t>
  </si>
  <si>
    <t>倾斜挂钩</t>
  </si>
  <si>
    <t>LSK-H30</t>
  </si>
  <si>
    <t>LSK-B2507</t>
  </si>
  <si>
    <t>深型篮子</t>
  </si>
  <si>
    <t>100*250*70mm</t>
  </si>
  <si>
    <t>LSK-B3507</t>
  </si>
  <si>
    <t>100*350*70mm</t>
  </si>
  <si>
    <t>LKP-BX933</t>
  </si>
  <si>
    <t>LK调味料盒子</t>
  </si>
  <si>
    <t>95*280*125mm</t>
  </si>
  <si>
    <t>KP-5F</t>
  </si>
  <si>
    <t>LK 5连挂钩</t>
  </si>
  <si>
    <t>40*130*80mm</t>
  </si>
  <si>
    <t>KP-3F</t>
  </si>
  <si>
    <t>LK 3连挂钩</t>
  </si>
  <si>
    <t>40*95*80mm</t>
  </si>
  <si>
    <t>P-AP</t>
  </si>
  <si>
    <t>家用金属圆盘调整器</t>
  </si>
  <si>
    <t>NLH6090-3</t>
  </si>
  <si>
    <t>工业三层架</t>
  </si>
  <si>
    <t>450*600*900mm</t>
  </si>
  <si>
    <t>MMH76-5T</t>
  </si>
  <si>
    <t>家用五层顶天立地架</t>
  </si>
  <si>
    <t>450*750*2200~2800mm</t>
  </si>
  <si>
    <t>MMH90-5T</t>
  </si>
  <si>
    <t>450*900*2200~2800mm</t>
  </si>
  <si>
    <t>WS9018-3BR</t>
  </si>
  <si>
    <t>家用三层衣架（带贴皮木板）</t>
  </si>
  <si>
    <t>WS6090-3BR</t>
  </si>
  <si>
    <t>迷你三层架（带贴皮木板）</t>
  </si>
  <si>
    <t>350*600*900mm</t>
  </si>
  <si>
    <t>WS7645-NA</t>
  </si>
  <si>
    <t>家用贴皮木板</t>
  </si>
  <si>
    <t>450*750*12mm</t>
  </si>
  <si>
    <t>WS9045-NA</t>
  </si>
  <si>
    <t>900*450*12mm</t>
  </si>
  <si>
    <t>WS6045-BR</t>
  </si>
  <si>
    <t>450*600*12mm</t>
  </si>
  <si>
    <t>WS7645-BR</t>
  </si>
  <si>
    <t>WS9045-BR</t>
  </si>
  <si>
    <t>OPS-6035V</t>
  </si>
  <si>
    <t>迷你PVC软垫</t>
  </si>
  <si>
    <t>OPS-7635V</t>
  </si>
  <si>
    <t>OPS-9035V</t>
  </si>
  <si>
    <t>家用PVC软垫</t>
  </si>
  <si>
    <t>OPS-6045V</t>
  </si>
  <si>
    <t>OPS-7645V</t>
  </si>
  <si>
    <t>OPS-9045V</t>
  </si>
  <si>
    <t>OPS-1245V</t>
  </si>
  <si>
    <t>LW6090-3T</t>
  </si>
  <si>
    <t>迷你三层篮子架</t>
  </si>
  <si>
    <t>400*600*904/936mm</t>
  </si>
  <si>
    <t>LW3015-6S</t>
  </si>
  <si>
    <t>超迷你空间六层收纳架</t>
  </si>
  <si>
    <t>300*400*1483/1502mm</t>
  </si>
  <si>
    <t>LW7018-3R</t>
  </si>
  <si>
    <t>迷你三层洗衣机架</t>
  </si>
  <si>
    <t>400*700*1742mm</t>
  </si>
  <si>
    <t>PP6035L-WH</t>
  </si>
  <si>
    <t>迷你PP板</t>
  </si>
  <si>
    <t>350*600*1mm</t>
  </si>
  <si>
    <t>NO1175-HD</t>
  </si>
  <si>
    <t>家用三层办公桌</t>
  </si>
  <si>
    <t>400*1100*760mm</t>
  </si>
  <si>
    <t>NO1018-WR</t>
  </si>
  <si>
    <t>家用三层/五层衣架</t>
  </si>
  <si>
    <t>450*（600＋400) *1800mm</t>
  </si>
  <si>
    <t>NO8052-3</t>
  </si>
  <si>
    <t>家用三层电视机架</t>
  </si>
  <si>
    <t>400*800*510mm</t>
  </si>
  <si>
    <t>NO1152-3</t>
  </si>
  <si>
    <t>400*1100*510mm</t>
  </si>
  <si>
    <t>NO1118-5</t>
  </si>
  <si>
    <t>400X1100X1800</t>
  </si>
  <si>
    <t>LWS6045VNA</t>
  </si>
  <si>
    <t>家用方框木板</t>
  </si>
  <si>
    <t>LWS6045VGY</t>
  </si>
  <si>
    <t>LWS7645VGY</t>
  </si>
  <si>
    <t>LWS9045VNA</t>
  </si>
  <si>
    <t>LWS9045VGY</t>
  </si>
  <si>
    <t>LWS1245VNA</t>
  </si>
  <si>
    <t>LWS1245VGY</t>
  </si>
  <si>
    <t>MS6040DBWO</t>
  </si>
  <si>
    <t>家用薄木板</t>
  </si>
  <si>
    <t>400*600*5mm</t>
  </si>
  <si>
    <t>MS8040DBWO</t>
  </si>
  <si>
    <t>400*800*5mm</t>
  </si>
  <si>
    <t>MS1140DBWO</t>
  </si>
  <si>
    <t>400*1100*5mm</t>
  </si>
  <si>
    <t>NO6040-WD</t>
  </si>
  <si>
    <t>家用带框架木板</t>
  </si>
  <si>
    <t>400*600*12mm</t>
  </si>
  <si>
    <t>NO8040-WD</t>
  </si>
  <si>
    <t>400*800*12mm</t>
  </si>
  <si>
    <t>NO1140-WD</t>
  </si>
  <si>
    <t>400*1100*12mm</t>
  </si>
  <si>
    <t>NO6040-SS</t>
  </si>
  <si>
    <t>家用网片</t>
  </si>
  <si>
    <t>400X600mm</t>
  </si>
  <si>
    <t>NO8040-SS</t>
  </si>
  <si>
    <t>400X800mm</t>
  </si>
  <si>
    <t>NO1140-SS</t>
  </si>
  <si>
    <t>400*1100mm</t>
  </si>
  <si>
    <t>NONT4060</t>
  </si>
  <si>
    <t>600*400mm</t>
  </si>
  <si>
    <t>NONT6040</t>
  </si>
  <si>
    <t>400*600mm</t>
  </si>
  <si>
    <t>NO60-HP</t>
  </si>
  <si>
    <t>NO80-HP</t>
  </si>
  <si>
    <t>800mm</t>
  </si>
  <si>
    <t>NOBS2510</t>
  </si>
  <si>
    <t>家用滑篮</t>
  </si>
  <si>
    <t>400*245*100mm</t>
  </si>
  <si>
    <t>NOBS2515</t>
  </si>
  <si>
    <t>400*245*150mm</t>
  </si>
  <si>
    <t>NO25WB040</t>
  </si>
  <si>
    <t>400mm</t>
  </si>
  <si>
    <t>起运港：SHEKOU</t>
    <phoneticPr fontId="4" type="noConversion"/>
  </si>
  <si>
    <t>回数:QE-648并QE-665并QE-679</t>
    <phoneticPr fontId="3" type="noConversion"/>
  </si>
</sst>
</file>

<file path=xl/styles.xml><?xml version="1.0" encoding="utf-8"?>
<styleSheet xmlns="http://schemas.openxmlformats.org/spreadsheetml/2006/main">
  <numFmts count="5">
    <numFmt numFmtId="176" formatCode="0.000_ "/>
    <numFmt numFmtId="177" formatCode="0.00_);[Red]\(0.00\)"/>
    <numFmt numFmtId="178" formatCode="0.00_ "/>
    <numFmt numFmtId="179" formatCode="0_ "/>
    <numFmt numFmtId="180" formatCode="m&quot;月&quot;d&quot;日&quot;;@"/>
  </numFmts>
  <fonts count="37">
    <font>
      <sz val="11"/>
      <color theme="1"/>
      <name val="宋体"/>
      <charset val="134"/>
      <scheme val="minor"/>
    </font>
    <font>
      <sz val="10"/>
      <name val="Helv"/>
      <family val="2"/>
    </font>
    <font>
      <sz val="26"/>
      <name val="隶书"/>
      <family val="3"/>
      <charset val="134"/>
    </font>
    <font>
      <sz val="9"/>
      <name val="宋体"/>
      <charset val="134"/>
    </font>
    <font>
      <sz val="9"/>
      <name val="宋体"/>
      <charset val="134"/>
    </font>
    <font>
      <sz val="20"/>
      <name val="方正姚体"/>
      <charset val="134"/>
    </font>
    <font>
      <b/>
      <sz val="14"/>
      <name val="宋体"/>
      <charset val="134"/>
    </font>
    <font>
      <b/>
      <sz val="14"/>
      <name val="Times New Roman"/>
      <family val="1"/>
    </font>
    <font>
      <sz val="6"/>
      <name val="ＭＳ Ｐゴシック"/>
      <family val="2"/>
    </font>
    <font>
      <sz val="12"/>
      <name val="宋体"/>
      <charset val="134"/>
    </font>
    <font>
      <sz val="12"/>
      <name val="Times New Roman"/>
      <family val="1"/>
    </font>
    <font>
      <sz val="11"/>
      <name val="宋体"/>
      <charset val="134"/>
    </font>
    <font>
      <sz val="11"/>
      <name val="新宋体"/>
      <family val="3"/>
      <charset val="134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name val="Times New Roman"/>
      <family val="1"/>
    </font>
    <font>
      <sz val="12"/>
      <name val="新細明體"/>
      <family val="1"/>
    </font>
    <font>
      <b/>
      <sz val="16"/>
      <color indexed="8"/>
      <name val="Arial"/>
      <family val="2"/>
    </font>
    <font>
      <b/>
      <sz val="12"/>
      <name val="宋体"/>
      <charset val="134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b/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2"/>
      <color indexed="8"/>
      <name val="宋体"/>
      <charset val="134"/>
    </font>
    <font>
      <sz val="11"/>
      <color indexed="8"/>
      <name val="ＭＳ Ｐゴシック"/>
      <family val="2"/>
    </font>
    <font>
      <sz val="12"/>
      <color indexed="8"/>
      <name val="宋体"/>
      <charset val="134"/>
    </font>
    <font>
      <sz val="12"/>
      <name val="MS PGothic"/>
      <family val="2"/>
    </font>
    <font>
      <sz val="14"/>
      <name val="Times New Roman"/>
      <family val="1"/>
    </font>
    <font>
      <sz val="14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0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6" fillId="0" borderId="0"/>
    <xf numFmtId="0" fontId="26" fillId="0" borderId="0"/>
    <xf numFmtId="0" fontId="13" fillId="0" borderId="0"/>
  </cellStyleXfs>
  <cellXfs count="87">
    <xf numFmtId="0" fontId="0" fillId="0" borderId="0" xfId="0">
      <alignment vertical="center"/>
    </xf>
    <xf numFmtId="0" fontId="9" fillId="2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 shrinkToFit="1"/>
    </xf>
    <xf numFmtId="0" fontId="10" fillId="0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4" applyNumberFormat="1" applyFont="1" applyFill="1" applyBorder="1" applyAlignment="1">
      <alignment horizontal="center" vertical="center" shrinkToFit="1"/>
    </xf>
    <xf numFmtId="0" fontId="11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wrapText="1"/>
    </xf>
    <xf numFmtId="176" fontId="11" fillId="2" borderId="1" xfId="1" applyNumberFormat="1" applyFont="1" applyFill="1" applyBorder="1" applyAlignment="1">
      <alignment horizontal="center" vertical="center" shrinkToFit="1"/>
    </xf>
    <xf numFmtId="0" fontId="11" fillId="2" borderId="1" xfId="1" applyNumberFormat="1" applyFont="1" applyFill="1" applyBorder="1" applyAlignment="1">
      <alignment horizontal="center" vertical="center" shrinkToFit="1"/>
    </xf>
    <xf numFmtId="179" fontId="9" fillId="0" borderId="1" xfId="2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7" fillId="0" borderId="1" xfId="4" applyNumberFormat="1" applyFont="1" applyFill="1" applyBorder="1" applyAlignment="1">
      <alignment horizontal="center" vertical="center" shrinkToFit="1"/>
    </xf>
    <xf numFmtId="177" fontId="9" fillId="0" borderId="1" xfId="1" applyNumberFormat="1" applyFont="1" applyFill="1" applyBorder="1" applyAlignment="1">
      <alignment horizontal="center" vertical="center" shrinkToFit="1"/>
    </xf>
    <xf numFmtId="176" fontId="9" fillId="0" borderId="1" xfId="1" applyNumberFormat="1" applyFont="1" applyFill="1" applyBorder="1" applyAlignment="1">
      <alignment horizontal="center" vertical="center" shrinkToFit="1"/>
    </xf>
    <xf numFmtId="0" fontId="9" fillId="0" borderId="1" xfId="1" applyNumberFormat="1" applyFont="1" applyFill="1" applyBorder="1" applyAlignment="1">
      <alignment horizontal="center" vertical="center" shrinkToFit="1"/>
    </xf>
    <xf numFmtId="0" fontId="9" fillId="2" borderId="1" xfId="1" applyFont="1" applyFill="1" applyBorder="1" applyAlignment="1">
      <alignment horizontal="center" vertical="center" shrinkToFit="1"/>
    </xf>
    <xf numFmtId="0" fontId="19" fillId="2" borderId="1" xfId="0" applyFont="1" applyFill="1" applyBorder="1" applyAlignment="1">
      <alignment horizontal="center" vertical="center" wrapText="1"/>
    </xf>
    <xf numFmtId="0" fontId="21" fillId="2" borderId="1" xfId="4" applyNumberFormat="1" applyFont="1" applyFill="1" applyBorder="1" applyAlignment="1">
      <alignment horizontal="center" vertical="center" shrinkToFit="1"/>
    </xf>
    <xf numFmtId="176" fontId="10" fillId="2" borderId="1" xfId="1" applyNumberFormat="1" applyFont="1" applyFill="1" applyBorder="1" applyAlignment="1">
      <alignment horizontal="center" vertical="center" shrinkToFit="1"/>
    </xf>
    <xf numFmtId="0" fontId="9" fillId="2" borderId="1" xfId="1" applyNumberFormat="1" applyFont="1" applyFill="1" applyBorder="1" applyAlignment="1">
      <alignment horizontal="left" vertical="center" shrinkToFit="1"/>
    </xf>
    <xf numFmtId="0" fontId="18" fillId="2" borderId="1" xfId="0" applyFont="1" applyFill="1" applyBorder="1" applyAlignment="1">
      <alignment horizontal="center" vertical="center"/>
    </xf>
    <xf numFmtId="176" fontId="9" fillId="2" borderId="1" xfId="1" applyNumberFormat="1" applyFont="1" applyFill="1" applyBorder="1" applyAlignment="1">
      <alignment horizontal="center" vertical="center" shrinkToFit="1"/>
    </xf>
    <xf numFmtId="177" fontId="9" fillId="2" borderId="1" xfId="0" applyNumberFormat="1" applyFont="1" applyFill="1" applyBorder="1" applyAlignment="1">
      <alignment horizontal="center" vertical="center" shrinkToFit="1"/>
    </xf>
    <xf numFmtId="18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4" fillId="2" borderId="1" xfId="4" applyNumberFormat="1" applyFont="1" applyFill="1" applyBorder="1" applyAlignment="1">
      <alignment horizontal="center" vertical="center" shrinkToFit="1"/>
    </xf>
    <xf numFmtId="0" fontId="10" fillId="2" borderId="1" xfId="1" applyFont="1" applyFill="1" applyBorder="1" applyAlignment="1">
      <alignment horizontal="center" vertical="center" wrapText="1"/>
    </xf>
    <xf numFmtId="177" fontId="9" fillId="2" borderId="1" xfId="1" applyNumberFormat="1" applyFont="1" applyFill="1" applyBorder="1" applyAlignment="1">
      <alignment horizontal="center" vertical="center" shrinkToFit="1"/>
    </xf>
    <xf numFmtId="176" fontId="9" fillId="2" borderId="1" xfId="1" applyNumberFormat="1" applyFont="1" applyFill="1" applyBorder="1" applyAlignment="1">
      <alignment horizontal="left" vertical="center" shrinkToFit="1"/>
    </xf>
    <xf numFmtId="0" fontId="9" fillId="2" borderId="1" xfId="2" applyFont="1" applyFill="1" applyBorder="1" applyAlignment="1">
      <alignment horizontal="center" vertical="center" shrinkToFit="1"/>
    </xf>
    <xf numFmtId="0" fontId="9" fillId="2" borderId="1" xfId="0" applyFont="1" applyFill="1" applyBorder="1" applyAlignment="1">
      <alignment horizontal="center" vertical="center" shrinkToFit="1"/>
    </xf>
    <xf numFmtId="49" fontId="25" fillId="2" borderId="1" xfId="4" applyNumberFormat="1" applyFont="1" applyFill="1" applyBorder="1" applyAlignment="1">
      <alignment horizontal="center" vertical="center" wrapText="1"/>
    </xf>
    <xf numFmtId="0" fontId="27" fillId="2" borderId="1" xfId="3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left" vertical="center" shrinkToFit="1"/>
    </xf>
    <xf numFmtId="0" fontId="1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left" vertical="center" shrinkToFit="1"/>
    </xf>
    <xf numFmtId="0" fontId="29" fillId="0" borderId="0" xfId="1" applyFont="1" applyFill="1" applyAlignment="1">
      <alignment horizontal="center" vertical="center"/>
    </xf>
    <xf numFmtId="0" fontId="9" fillId="0" borderId="0" xfId="1" applyFont="1" applyFill="1" applyAlignment="1">
      <alignment horizontal="center" vertical="center"/>
    </xf>
    <xf numFmtId="176" fontId="9" fillId="0" borderId="2" xfId="1" applyNumberFormat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left" vertical="center"/>
    </xf>
    <xf numFmtId="0" fontId="32" fillId="0" borderId="1" xfId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78" fontId="33" fillId="0" borderId="0" xfId="1" applyNumberFormat="1" applyFont="1" applyFill="1" applyAlignment="1">
      <alignment horizontal="center" vertical="center"/>
    </xf>
    <xf numFmtId="0" fontId="35" fillId="0" borderId="0" xfId="0" applyFont="1">
      <alignment vertical="center"/>
    </xf>
    <xf numFmtId="0" fontId="34" fillId="0" borderId="0" xfId="1" applyFont="1" applyFill="1" applyAlignment="1">
      <alignment horizontal="center" vertical="center"/>
    </xf>
    <xf numFmtId="0" fontId="23" fillId="0" borderId="1" xfId="4" applyNumberFormat="1" applyFont="1" applyFill="1" applyBorder="1" applyAlignment="1">
      <alignment horizontal="center" vertical="center"/>
    </xf>
    <xf numFmtId="0" fontId="20" fillId="2" borderId="1" xfId="4" applyNumberFormat="1" applyFont="1" applyFill="1" applyBorder="1" applyAlignment="1">
      <alignment horizontal="center" vertical="center" shrinkToFit="1"/>
    </xf>
    <xf numFmtId="49" fontId="11" fillId="2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178" fontId="11" fillId="2" borderId="1" xfId="1" applyNumberFormat="1" applyFont="1" applyFill="1" applyBorder="1" applyAlignment="1">
      <alignment horizontal="center" vertical="center" shrinkToFit="1"/>
    </xf>
    <xf numFmtId="178" fontId="9" fillId="0" borderId="1" xfId="1" applyNumberFormat="1" applyFont="1" applyFill="1" applyBorder="1" applyAlignment="1">
      <alignment horizontal="center" vertical="center"/>
    </xf>
    <xf numFmtId="178" fontId="9" fillId="0" borderId="1" xfId="1" applyNumberFormat="1" applyFont="1" applyFill="1" applyBorder="1" applyAlignment="1">
      <alignment horizontal="center" vertical="center" shrinkToFit="1"/>
    </xf>
    <xf numFmtId="178" fontId="21" fillId="2" borderId="1" xfId="4" applyNumberFormat="1" applyFont="1" applyFill="1" applyBorder="1" applyAlignment="1">
      <alignment horizontal="center" vertical="center" shrinkToFit="1"/>
    </xf>
    <xf numFmtId="178" fontId="9" fillId="2" borderId="1" xfId="1" applyNumberFormat="1" applyFont="1" applyFill="1" applyBorder="1" applyAlignment="1">
      <alignment horizontal="center" vertical="center" shrinkToFit="1"/>
    </xf>
    <xf numFmtId="178" fontId="10" fillId="2" borderId="1" xfId="1" applyNumberFormat="1" applyFont="1" applyFill="1" applyBorder="1" applyAlignment="1">
      <alignment horizontal="center" vertical="center" shrinkToFit="1"/>
    </xf>
    <xf numFmtId="178" fontId="18" fillId="2" borderId="1" xfId="1" applyNumberFormat="1" applyFont="1" applyFill="1" applyBorder="1" applyAlignment="1">
      <alignment horizontal="center" vertical="center"/>
    </xf>
    <xf numFmtId="178" fontId="29" fillId="0" borderId="0" xfId="1" applyNumberFormat="1" applyFont="1" applyFill="1" applyAlignment="1">
      <alignment horizontal="center" vertical="center"/>
    </xf>
    <xf numFmtId="178" fontId="0" fillId="0" borderId="0" xfId="0" applyNumberFormat="1">
      <alignment vertical="center"/>
    </xf>
    <xf numFmtId="178" fontId="9" fillId="2" borderId="1" xfId="1" applyNumberFormat="1" applyFont="1" applyFill="1" applyBorder="1" applyAlignment="1">
      <alignment horizontal="center" vertical="center"/>
    </xf>
    <xf numFmtId="178" fontId="30" fillId="0" borderId="0" xfId="1" applyNumberFormat="1" applyFont="1" applyFill="1" applyAlignment="1">
      <alignment horizontal="center" vertical="center"/>
    </xf>
    <xf numFmtId="177" fontId="9" fillId="0" borderId="1" xfId="1" applyNumberFormat="1" applyFont="1" applyFill="1" applyBorder="1" applyAlignment="1">
      <alignment horizontal="center" vertical="center"/>
    </xf>
    <xf numFmtId="177" fontId="11" fillId="2" borderId="1" xfId="1" applyNumberFormat="1" applyFont="1" applyFill="1" applyBorder="1" applyAlignment="1">
      <alignment horizontal="center" vertical="center" shrinkToFit="1"/>
    </xf>
    <xf numFmtId="177" fontId="33" fillId="0" borderId="0" xfId="1" applyNumberFormat="1" applyFont="1" applyFill="1" applyAlignment="1">
      <alignment horizontal="center" vertical="center"/>
    </xf>
    <xf numFmtId="177" fontId="0" fillId="0" borderId="0" xfId="0" applyNumberFormat="1">
      <alignment vertical="center"/>
    </xf>
    <xf numFmtId="176" fontId="9" fillId="0" borderId="1" xfId="1" applyNumberFormat="1" applyFont="1" applyFill="1" applyBorder="1" applyAlignment="1">
      <alignment horizontal="center" vertical="center"/>
    </xf>
    <xf numFmtId="176" fontId="22" fillId="2" borderId="1" xfId="0" applyNumberFormat="1" applyFont="1" applyFill="1" applyBorder="1" applyAlignment="1">
      <alignment horizontal="center" vertical="center"/>
    </xf>
    <xf numFmtId="176" fontId="30" fillId="0" borderId="0" xfId="1" applyNumberFormat="1" applyFont="1" applyFill="1" applyAlignment="1">
      <alignment horizontal="center" vertical="center"/>
    </xf>
    <xf numFmtId="176" fontId="0" fillId="0" borderId="0" xfId="0" applyNumberFormat="1">
      <alignment vertical="center"/>
    </xf>
    <xf numFmtId="176" fontId="36" fillId="0" borderId="0" xfId="1" applyNumberFormat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178" fontId="5" fillId="0" borderId="0" xfId="1" applyNumberFormat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horizontal="center" vertical="center" shrinkToFit="1"/>
    </xf>
    <xf numFmtId="0" fontId="31" fillId="0" borderId="1" xfId="0" applyFont="1" applyFill="1" applyBorder="1" applyAlignment="1">
      <alignment horizontal="center" vertical="center"/>
    </xf>
    <xf numFmtId="14" fontId="6" fillId="0" borderId="1" xfId="1" applyNumberFormat="1" applyFont="1" applyFill="1" applyBorder="1" applyAlignment="1">
      <alignment horizontal="right" vertical="center"/>
    </xf>
    <xf numFmtId="14" fontId="7" fillId="0" borderId="1" xfId="1" applyNumberFormat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shrinkToFit="1"/>
    </xf>
    <xf numFmtId="0" fontId="18" fillId="2" borderId="1" xfId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</cellXfs>
  <cellStyles count="5">
    <cellStyle name="A4 Small 210 x 297 mm" xfId="1"/>
    <cellStyle name="標準_6月展示会サンプルスケジュール60510" xfId="2"/>
    <cellStyle name="標準_Sheet1_SLIM" xfId="3"/>
    <cellStyle name="常规" xfId="0" builtinId="0"/>
    <cellStyle name="一般_SCHEDULE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3"/>
  <sheetViews>
    <sheetView tabSelected="1" topLeftCell="A184" workbookViewId="0">
      <selection activeCell="B186" sqref="B186:D186"/>
    </sheetView>
  </sheetViews>
  <sheetFormatPr defaultRowHeight="13.5"/>
  <cols>
    <col min="1" max="1" width="5.25" customWidth="1"/>
    <col min="3" max="4" width="12.125" customWidth="1"/>
    <col min="5" max="5" width="9.625" customWidth="1"/>
    <col min="15" max="15" width="9" style="66"/>
    <col min="16" max="16" width="11.75" style="66" customWidth="1"/>
    <col min="17" max="18" width="9" style="66"/>
    <col min="19" max="19" width="9" style="76"/>
    <col min="20" max="20" width="9" style="72"/>
    <col min="21" max="21" width="9" style="76"/>
    <col min="23" max="23" width="14.875" customWidth="1"/>
  </cols>
  <sheetData>
    <row r="1" spans="1:23" ht="24" customHeight="1">
      <c r="A1" s="78" t="s">
        <v>36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</row>
    <row r="2" spans="1:23" ht="24">
      <c r="A2" s="79" t="s">
        <v>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</row>
    <row r="3" spans="1:23" ht="24" customHeight="1">
      <c r="A3" s="80" t="s">
        <v>1</v>
      </c>
      <c r="B3" s="80"/>
      <c r="C3" s="81" t="s">
        <v>37</v>
      </c>
      <c r="D3" s="81"/>
      <c r="E3" s="80" t="s">
        <v>38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2" t="s">
        <v>2</v>
      </c>
      <c r="T3" s="82"/>
      <c r="U3" s="83">
        <v>43573.61451388889</v>
      </c>
      <c r="V3" s="83"/>
      <c r="W3" s="83"/>
    </row>
    <row r="4" spans="1:23" ht="24" customHeight="1">
      <c r="A4" s="1" t="s">
        <v>3</v>
      </c>
      <c r="B4" s="3" t="s">
        <v>4</v>
      </c>
      <c r="C4" s="4" t="s">
        <v>5</v>
      </c>
      <c r="D4" s="4" t="s">
        <v>6</v>
      </c>
      <c r="E4" s="5" t="s">
        <v>7</v>
      </c>
      <c r="F4" s="1" t="s">
        <v>8</v>
      </c>
      <c r="G4" s="2" t="s">
        <v>9</v>
      </c>
      <c r="H4" s="6" t="s">
        <v>10</v>
      </c>
      <c r="I4" s="7" t="s">
        <v>34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59" t="s">
        <v>16</v>
      </c>
      <c r="P4" s="67" t="s">
        <v>17</v>
      </c>
      <c r="Q4" s="59" t="s">
        <v>18</v>
      </c>
      <c r="R4" s="59" t="s">
        <v>19</v>
      </c>
      <c r="S4" s="73" t="s">
        <v>20</v>
      </c>
      <c r="T4" s="69" t="s">
        <v>21</v>
      </c>
      <c r="U4" s="47" t="s">
        <v>22</v>
      </c>
      <c r="V4" s="48" t="s">
        <v>23</v>
      </c>
      <c r="W4" s="49" t="s">
        <v>33</v>
      </c>
    </row>
    <row r="5" spans="1:23" ht="24" customHeight="1">
      <c r="A5" s="9">
        <v>1</v>
      </c>
      <c r="B5" s="10">
        <v>676783</v>
      </c>
      <c r="C5" s="56" t="s">
        <v>63</v>
      </c>
      <c r="D5" s="10" t="s">
        <v>64</v>
      </c>
      <c r="E5" s="11" t="s">
        <v>65</v>
      </c>
      <c r="F5" s="12">
        <v>36</v>
      </c>
      <c r="G5" s="13">
        <v>4</v>
      </c>
      <c r="H5" s="12">
        <f>F5/G5</f>
        <v>9</v>
      </c>
      <c r="I5" s="14"/>
      <c r="J5" s="14"/>
      <c r="K5" s="14"/>
      <c r="L5" s="14"/>
      <c r="M5" s="14"/>
      <c r="N5" s="14"/>
      <c r="O5" s="58">
        <v>4.75</v>
      </c>
      <c r="P5" s="58">
        <f>O5*H5</f>
        <v>42.75</v>
      </c>
      <c r="Q5" s="58">
        <v>5.55</v>
      </c>
      <c r="R5" s="58">
        <f>H5*Q5</f>
        <v>49.949999999999996</v>
      </c>
      <c r="S5" s="15">
        <v>1.611</v>
      </c>
      <c r="T5" s="70">
        <f>H5*S5</f>
        <v>14.499000000000001</v>
      </c>
      <c r="U5" s="15">
        <f>T5*0.0283</f>
        <v>0.41032170000000001</v>
      </c>
      <c r="V5" s="16"/>
      <c r="W5" s="50" t="s">
        <v>42</v>
      </c>
    </row>
    <row r="6" spans="1:23" ht="24" customHeight="1">
      <c r="A6" s="9">
        <v>2</v>
      </c>
      <c r="B6" s="10">
        <v>610491</v>
      </c>
      <c r="C6" s="56" t="s">
        <v>73</v>
      </c>
      <c r="D6" s="10" t="s">
        <v>74</v>
      </c>
      <c r="E6" s="11" t="s">
        <v>75</v>
      </c>
      <c r="F6" s="12">
        <v>188</v>
      </c>
      <c r="G6" s="13">
        <v>4</v>
      </c>
      <c r="H6" s="12">
        <f>F6/G6</f>
        <v>47</v>
      </c>
      <c r="I6" s="14"/>
      <c r="J6" s="14"/>
      <c r="K6" s="14"/>
      <c r="L6" s="14"/>
      <c r="M6" s="14"/>
      <c r="N6" s="14"/>
      <c r="O6" s="58">
        <v>2.35</v>
      </c>
      <c r="P6" s="58">
        <f>O6*H6</f>
        <v>110.45</v>
      </c>
      <c r="Q6" s="58">
        <v>2.7</v>
      </c>
      <c r="R6" s="58">
        <f>H6*Q6</f>
        <v>126.9</v>
      </c>
      <c r="S6" s="15">
        <v>0.51100000000000001</v>
      </c>
      <c r="T6" s="70">
        <f>H6*S6</f>
        <v>24.016999999999999</v>
      </c>
      <c r="U6" s="15">
        <f>T6*0.0283</f>
        <v>0.67968109999999993</v>
      </c>
      <c r="V6" s="16"/>
      <c r="W6" s="50" t="s">
        <v>42</v>
      </c>
    </row>
    <row r="7" spans="1:23" ht="24" customHeight="1">
      <c r="A7" s="9">
        <v>3</v>
      </c>
      <c r="B7" s="10">
        <v>625671</v>
      </c>
      <c r="C7" s="56" t="s">
        <v>60</v>
      </c>
      <c r="D7" s="10" t="s">
        <v>61</v>
      </c>
      <c r="E7" s="11" t="s">
        <v>62</v>
      </c>
      <c r="F7" s="12">
        <v>120</v>
      </c>
      <c r="G7" s="13">
        <v>8</v>
      </c>
      <c r="H7" s="12">
        <f>F7/G7</f>
        <v>15</v>
      </c>
      <c r="I7" s="14"/>
      <c r="J7" s="14"/>
      <c r="K7" s="14"/>
      <c r="L7" s="14"/>
      <c r="M7" s="14"/>
      <c r="N7" s="14"/>
      <c r="O7" s="58">
        <v>1.2</v>
      </c>
      <c r="P7" s="58">
        <f>O7*H7</f>
        <v>18</v>
      </c>
      <c r="Q7" s="58">
        <v>1.35</v>
      </c>
      <c r="R7" s="58">
        <f>H7*Q7</f>
        <v>20.25</v>
      </c>
      <c r="S7" s="15">
        <v>0.127</v>
      </c>
      <c r="T7" s="70">
        <f>H7*S7</f>
        <v>1.905</v>
      </c>
      <c r="U7" s="15">
        <f>T7*0.0283</f>
        <v>5.3911500000000001E-2</v>
      </c>
      <c r="V7" s="16"/>
      <c r="W7" s="50" t="s">
        <v>42</v>
      </c>
    </row>
    <row r="8" spans="1:23" ht="24" customHeight="1">
      <c r="A8" s="9">
        <v>4</v>
      </c>
      <c r="B8" s="10">
        <v>699380</v>
      </c>
      <c r="C8" s="56" t="s">
        <v>66</v>
      </c>
      <c r="D8" s="10" t="s">
        <v>67</v>
      </c>
      <c r="E8" s="11" t="s">
        <v>68</v>
      </c>
      <c r="F8" s="12">
        <v>44</v>
      </c>
      <c r="G8" s="13">
        <v>4</v>
      </c>
      <c r="H8" s="12">
        <f>F8/G8</f>
        <v>11</v>
      </c>
      <c r="I8" s="14"/>
      <c r="J8" s="14"/>
      <c r="K8" s="14"/>
      <c r="L8" s="14"/>
      <c r="M8" s="14"/>
      <c r="N8" s="14"/>
      <c r="O8" s="58">
        <v>3.1</v>
      </c>
      <c r="P8" s="58">
        <f>O8*H8</f>
        <v>34.1</v>
      </c>
      <c r="Q8" s="58">
        <v>3.65</v>
      </c>
      <c r="R8" s="58">
        <f>H8*Q8</f>
        <v>40.15</v>
      </c>
      <c r="S8" s="15">
        <v>0.93</v>
      </c>
      <c r="T8" s="70">
        <f>H8*S8</f>
        <v>10.23</v>
      </c>
      <c r="U8" s="15">
        <f>T8*0.0283</f>
        <v>0.28950900000000002</v>
      </c>
      <c r="V8" s="16"/>
      <c r="W8" s="50" t="s">
        <v>42</v>
      </c>
    </row>
    <row r="9" spans="1:23" ht="24" customHeight="1">
      <c r="A9" s="9">
        <v>5</v>
      </c>
      <c r="B9" s="10">
        <v>699382</v>
      </c>
      <c r="C9" s="56" t="s">
        <v>69</v>
      </c>
      <c r="D9" s="10" t="s">
        <v>67</v>
      </c>
      <c r="E9" s="11" t="s">
        <v>70</v>
      </c>
      <c r="F9" s="12">
        <v>16</v>
      </c>
      <c r="G9" s="13">
        <v>4</v>
      </c>
      <c r="H9" s="12">
        <f>F9/G9</f>
        <v>4</v>
      </c>
      <c r="I9" s="14"/>
      <c r="J9" s="14"/>
      <c r="K9" s="14"/>
      <c r="L9" s="14"/>
      <c r="M9" s="14"/>
      <c r="N9" s="14"/>
      <c r="O9" s="58">
        <v>5.3</v>
      </c>
      <c r="P9" s="58">
        <f>O9*H9</f>
        <v>21.2</v>
      </c>
      <c r="Q9" s="58">
        <v>6.2</v>
      </c>
      <c r="R9" s="58">
        <f>H9*Q9</f>
        <v>24.8</v>
      </c>
      <c r="S9" s="15">
        <v>1.8199999999999998</v>
      </c>
      <c r="T9" s="70">
        <f>H9*S9</f>
        <v>7.2799999999999994</v>
      </c>
      <c r="U9" s="15">
        <f>T9*0.0283</f>
        <v>0.20602399999999998</v>
      </c>
      <c r="V9" s="16"/>
      <c r="W9" s="50" t="s">
        <v>42</v>
      </c>
    </row>
    <row r="10" spans="1:23" ht="24" customHeight="1">
      <c r="A10" s="9">
        <v>6</v>
      </c>
      <c r="B10" s="10">
        <v>54252</v>
      </c>
      <c r="C10" s="56" t="s">
        <v>226</v>
      </c>
      <c r="D10" s="10" t="s">
        <v>227</v>
      </c>
      <c r="E10" s="11" t="s">
        <v>225</v>
      </c>
      <c r="F10" s="12">
        <v>140</v>
      </c>
      <c r="G10" s="13">
        <v>2</v>
      </c>
      <c r="H10" s="12">
        <f>F10/G10</f>
        <v>70</v>
      </c>
      <c r="I10" s="14"/>
      <c r="J10" s="14"/>
      <c r="K10" s="14"/>
      <c r="L10" s="14"/>
      <c r="M10" s="14"/>
      <c r="N10" s="14"/>
      <c r="O10" s="58">
        <v>1.1199999999999999</v>
      </c>
      <c r="P10" s="58">
        <f>O10*H10</f>
        <v>78.399999999999991</v>
      </c>
      <c r="Q10" s="58">
        <v>1.4300000000000002</v>
      </c>
      <c r="R10" s="58">
        <f>H10*Q10</f>
        <v>100.10000000000001</v>
      </c>
      <c r="S10" s="15">
        <v>0.30499999999999999</v>
      </c>
      <c r="T10" s="70">
        <f>H10*S10</f>
        <v>21.349999999999998</v>
      </c>
      <c r="U10" s="15">
        <f>T10*0.0283</f>
        <v>0.60420499999999988</v>
      </c>
      <c r="V10" s="16"/>
      <c r="W10" s="50" t="s">
        <v>42</v>
      </c>
    </row>
    <row r="11" spans="1:23" ht="24" customHeight="1">
      <c r="A11" s="9">
        <v>7</v>
      </c>
      <c r="B11" s="10">
        <v>54528</v>
      </c>
      <c r="C11" s="56" t="s">
        <v>232</v>
      </c>
      <c r="D11" s="10" t="s">
        <v>229</v>
      </c>
      <c r="E11" s="11" t="s">
        <v>57</v>
      </c>
      <c r="F11" s="12">
        <v>68</v>
      </c>
      <c r="G11" s="13">
        <v>4</v>
      </c>
      <c r="H11" s="12">
        <f>F11/G11</f>
        <v>17</v>
      </c>
      <c r="I11" s="14"/>
      <c r="J11" s="14"/>
      <c r="K11" s="14"/>
      <c r="L11" s="14"/>
      <c r="M11" s="14"/>
      <c r="N11" s="14"/>
      <c r="O11" s="58">
        <v>8.85</v>
      </c>
      <c r="P11" s="58">
        <f>O11*H11</f>
        <v>150.44999999999999</v>
      </c>
      <c r="Q11" s="58">
        <v>10.83</v>
      </c>
      <c r="R11" s="58">
        <f>H11*Q11</f>
        <v>184.11</v>
      </c>
      <c r="S11" s="15">
        <v>3.5119999999999996</v>
      </c>
      <c r="T11" s="70">
        <f>H11*S11</f>
        <v>59.703999999999994</v>
      </c>
      <c r="U11" s="15">
        <f>T11*0.0283</f>
        <v>1.6896231999999998</v>
      </c>
      <c r="V11" s="16"/>
      <c r="W11" s="50" t="s">
        <v>42</v>
      </c>
    </row>
    <row r="12" spans="1:23" ht="24" customHeight="1">
      <c r="A12" s="9">
        <v>8</v>
      </c>
      <c r="B12" s="10">
        <v>429387</v>
      </c>
      <c r="C12" s="56" t="s">
        <v>228</v>
      </c>
      <c r="D12" s="10" t="s">
        <v>229</v>
      </c>
      <c r="E12" s="11" t="s">
        <v>53</v>
      </c>
      <c r="F12" s="12">
        <v>40</v>
      </c>
      <c r="G12" s="13">
        <v>4</v>
      </c>
      <c r="H12" s="12">
        <f>F12/G12</f>
        <v>10</v>
      </c>
      <c r="I12" s="14"/>
      <c r="J12" s="14"/>
      <c r="K12" s="14"/>
      <c r="L12" s="14"/>
      <c r="M12" s="14"/>
      <c r="N12" s="14"/>
      <c r="O12" s="58">
        <v>6.4</v>
      </c>
      <c r="P12" s="58">
        <f>O12*H12</f>
        <v>64</v>
      </c>
      <c r="Q12" s="58">
        <v>7.9</v>
      </c>
      <c r="R12" s="58">
        <f>H12*Q12</f>
        <v>79</v>
      </c>
      <c r="S12" s="15">
        <v>1.85</v>
      </c>
      <c r="T12" s="70">
        <f>H12*S12</f>
        <v>18.5</v>
      </c>
      <c r="U12" s="15">
        <f>T12*0.0283</f>
        <v>0.52354999999999996</v>
      </c>
      <c r="V12" s="16"/>
      <c r="W12" s="50" t="s">
        <v>42</v>
      </c>
    </row>
    <row r="13" spans="1:23" ht="24" customHeight="1">
      <c r="A13" s="9">
        <v>9</v>
      </c>
      <c r="B13" s="10">
        <v>54526</v>
      </c>
      <c r="C13" s="56" t="s">
        <v>230</v>
      </c>
      <c r="D13" s="10" t="s">
        <v>229</v>
      </c>
      <c r="E13" s="11" t="s">
        <v>55</v>
      </c>
      <c r="F13" s="12">
        <v>36</v>
      </c>
      <c r="G13" s="13">
        <v>4</v>
      </c>
      <c r="H13" s="12">
        <f>F13/G13</f>
        <v>9</v>
      </c>
      <c r="I13" s="14"/>
      <c r="J13" s="14"/>
      <c r="K13" s="14"/>
      <c r="L13" s="14"/>
      <c r="M13" s="14"/>
      <c r="N13" s="14"/>
      <c r="O13" s="58">
        <v>7</v>
      </c>
      <c r="P13" s="58">
        <f>O13*H13</f>
        <v>63</v>
      </c>
      <c r="Q13" s="58">
        <v>8.6</v>
      </c>
      <c r="R13" s="58">
        <f>H13*Q13</f>
        <v>77.399999999999991</v>
      </c>
      <c r="S13" s="15">
        <v>2.3050000000000002</v>
      </c>
      <c r="T13" s="70">
        <f>H13*S13</f>
        <v>20.745000000000001</v>
      </c>
      <c r="U13" s="15">
        <f>T13*0.0283</f>
        <v>0.58708349999999998</v>
      </c>
      <c r="V13" s="16"/>
      <c r="W13" s="50" t="s">
        <v>42</v>
      </c>
    </row>
    <row r="14" spans="1:23" ht="24" customHeight="1">
      <c r="A14" s="9">
        <v>10</v>
      </c>
      <c r="B14" s="10">
        <v>54527</v>
      </c>
      <c r="C14" s="56" t="s">
        <v>231</v>
      </c>
      <c r="D14" s="10" t="s">
        <v>229</v>
      </c>
      <c r="E14" s="11" t="s">
        <v>72</v>
      </c>
      <c r="F14" s="12">
        <v>56</v>
      </c>
      <c r="G14" s="13">
        <v>4</v>
      </c>
      <c r="H14" s="12">
        <f>F14/G14</f>
        <v>14</v>
      </c>
      <c r="I14" s="14"/>
      <c r="J14" s="14"/>
      <c r="K14" s="14"/>
      <c r="L14" s="14"/>
      <c r="M14" s="14"/>
      <c r="N14" s="14"/>
      <c r="O14" s="58">
        <v>7.6</v>
      </c>
      <c r="P14" s="58">
        <f>O14*H14</f>
        <v>106.39999999999999</v>
      </c>
      <c r="Q14" s="58">
        <v>9.35</v>
      </c>
      <c r="R14" s="58">
        <f>H14*Q14</f>
        <v>130.9</v>
      </c>
      <c r="S14" s="15">
        <v>2.7389999999999999</v>
      </c>
      <c r="T14" s="70">
        <f>H14*S14</f>
        <v>38.345999999999997</v>
      </c>
      <c r="U14" s="15">
        <f>T14*0.0283</f>
        <v>1.0851917999999998</v>
      </c>
      <c r="V14" s="16"/>
      <c r="W14" s="50" t="s">
        <v>42</v>
      </c>
    </row>
    <row r="15" spans="1:23" ht="24" customHeight="1">
      <c r="A15" s="9">
        <v>11</v>
      </c>
      <c r="B15" s="10">
        <v>54529</v>
      </c>
      <c r="C15" s="56" t="s">
        <v>201</v>
      </c>
      <c r="D15" s="10" t="s">
        <v>202</v>
      </c>
      <c r="E15" s="11" t="s">
        <v>62</v>
      </c>
      <c r="F15" s="12">
        <v>336</v>
      </c>
      <c r="G15" s="13">
        <v>4</v>
      </c>
      <c r="H15" s="12">
        <f>F15/G15</f>
        <v>84</v>
      </c>
      <c r="I15" s="14"/>
      <c r="J15" s="14"/>
      <c r="K15" s="14"/>
      <c r="L15" s="14"/>
      <c r="M15" s="14"/>
      <c r="N15" s="14"/>
      <c r="O15" s="58">
        <v>0.7</v>
      </c>
      <c r="P15" s="58">
        <f>O15*H15</f>
        <v>58.8</v>
      </c>
      <c r="Q15" s="58">
        <v>0.75</v>
      </c>
      <c r="R15" s="58">
        <f>H15*Q15</f>
        <v>63</v>
      </c>
      <c r="S15" s="15">
        <v>2.5000000000000001E-2</v>
      </c>
      <c r="T15" s="70">
        <f>H15*S15</f>
        <v>2.1</v>
      </c>
      <c r="U15" s="15">
        <f>T15*0.0283</f>
        <v>5.9429999999999997E-2</v>
      </c>
      <c r="V15" s="16"/>
      <c r="W15" s="50" t="s">
        <v>203</v>
      </c>
    </row>
    <row r="16" spans="1:23" ht="24" customHeight="1">
      <c r="A16" s="9">
        <v>12</v>
      </c>
      <c r="B16" s="10">
        <v>54530</v>
      </c>
      <c r="C16" s="56" t="s">
        <v>204</v>
      </c>
      <c r="D16" s="10" t="s">
        <v>202</v>
      </c>
      <c r="E16" s="11" t="s">
        <v>205</v>
      </c>
      <c r="F16" s="12">
        <v>444</v>
      </c>
      <c r="G16" s="13">
        <v>4</v>
      </c>
      <c r="H16" s="12">
        <f>F16/G16</f>
        <v>111</v>
      </c>
      <c r="I16" s="14"/>
      <c r="J16" s="14"/>
      <c r="K16" s="14"/>
      <c r="L16" s="14"/>
      <c r="M16" s="14"/>
      <c r="N16" s="14"/>
      <c r="O16" s="58">
        <v>1.1000000000000001</v>
      </c>
      <c r="P16" s="58">
        <f>O16*H16</f>
        <v>122.10000000000001</v>
      </c>
      <c r="Q16" s="58">
        <v>1.2</v>
      </c>
      <c r="R16" s="58">
        <f>H16*Q16</f>
        <v>133.19999999999999</v>
      </c>
      <c r="S16" s="15">
        <v>4.7E-2</v>
      </c>
      <c r="T16" s="70">
        <f>H16*S16</f>
        <v>5.2169999999999996</v>
      </c>
      <c r="U16" s="15">
        <f>T16*0.0283</f>
        <v>0.14764109999999997</v>
      </c>
      <c r="V16" s="16"/>
      <c r="W16" s="50" t="s">
        <v>203</v>
      </c>
    </row>
    <row r="17" spans="1:23" ht="24" customHeight="1">
      <c r="A17" s="9">
        <v>13</v>
      </c>
      <c r="B17" s="10">
        <v>54532</v>
      </c>
      <c r="C17" s="56" t="s">
        <v>206</v>
      </c>
      <c r="D17" s="10" t="s">
        <v>202</v>
      </c>
      <c r="E17" s="11" t="s">
        <v>207</v>
      </c>
      <c r="F17" s="12">
        <v>552</v>
      </c>
      <c r="G17" s="13">
        <v>4</v>
      </c>
      <c r="H17" s="12">
        <f>F17/G17</f>
        <v>138</v>
      </c>
      <c r="I17" s="14"/>
      <c r="J17" s="14"/>
      <c r="K17" s="14"/>
      <c r="L17" s="14"/>
      <c r="M17" s="14"/>
      <c r="N17" s="14"/>
      <c r="O17" s="58">
        <v>1.55</v>
      </c>
      <c r="P17" s="58">
        <f>O17*H17</f>
        <v>213.9</v>
      </c>
      <c r="Q17" s="58">
        <v>1.65</v>
      </c>
      <c r="R17" s="58">
        <f>H17*Q17</f>
        <v>227.7</v>
      </c>
      <c r="S17" s="15">
        <v>8.1000000000000003E-2</v>
      </c>
      <c r="T17" s="70">
        <f>H17*S17</f>
        <v>11.178000000000001</v>
      </c>
      <c r="U17" s="15">
        <f>T17*0.0283</f>
        <v>0.31633739999999999</v>
      </c>
      <c r="V17" s="16"/>
      <c r="W17" s="50" t="s">
        <v>208</v>
      </c>
    </row>
    <row r="18" spans="1:23" ht="24" customHeight="1">
      <c r="A18" s="9">
        <v>14</v>
      </c>
      <c r="B18" s="10">
        <v>54533</v>
      </c>
      <c r="C18" s="56" t="s">
        <v>209</v>
      </c>
      <c r="D18" s="10" t="s">
        <v>202</v>
      </c>
      <c r="E18" s="11" t="s">
        <v>210</v>
      </c>
      <c r="F18" s="12">
        <v>1212</v>
      </c>
      <c r="G18" s="13">
        <v>4</v>
      </c>
      <c r="H18" s="12">
        <f>F18/G18</f>
        <v>303</v>
      </c>
      <c r="I18" s="14"/>
      <c r="J18" s="14"/>
      <c r="K18" s="14"/>
      <c r="L18" s="14"/>
      <c r="M18" s="14"/>
      <c r="N18" s="14"/>
      <c r="O18" s="58">
        <v>2</v>
      </c>
      <c r="P18" s="58">
        <f>O18*H18</f>
        <v>606</v>
      </c>
      <c r="Q18" s="58">
        <v>2.15</v>
      </c>
      <c r="R18" s="58">
        <f>H18*Q18</f>
        <v>651.44999999999993</v>
      </c>
      <c r="S18" s="15">
        <v>0.115</v>
      </c>
      <c r="T18" s="70">
        <f>H18*S18</f>
        <v>34.844999999999999</v>
      </c>
      <c r="U18" s="15">
        <f>T18*0.0283</f>
        <v>0.98611349999999998</v>
      </c>
      <c r="V18" s="16"/>
      <c r="W18" s="50" t="s">
        <v>42</v>
      </c>
    </row>
    <row r="19" spans="1:23" ht="24" customHeight="1">
      <c r="A19" s="9">
        <v>15</v>
      </c>
      <c r="B19" s="10">
        <v>54534</v>
      </c>
      <c r="C19" s="56" t="s">
        <v>211</v>
      </c>
      <c r="D19" s="10" t="s">
        <v>202</v>
      </c>
      <c r="E19" s="11" t="s">
        <v>144</v>
      </c>
      <c r="F19" s="12">
        <v>1448</v>
      </c>
      <c r="G19" s="13">
        <v>4</v>
      </c>
      <c r="H19" s="12">
        <f>F19/G19</f>
        <v>362</v>
      </c>
      <c r="I19" s="14"/>
      <c r="J19" s="14"/>
      <c r="K19" s="14"/>
      <c r="L19" s="14"/>
      <c r="M19" s="14"/>
      <c r="N19" s="14"/>
      <c r="O19" s="58">
        <v>2.8</v>
      </c>
      <c r="P19" s="58">
        <f>O19*H19</f>
        <v>1013.5999999999999</v>
      </c>
      <c r="Q19" s="58">
        <v>3</v>
      </c>
      <c r="R19" s="58">
        <f>H19*Q19</f>
        <v>1086</v>
      </c>
      <c r="S19" s="15">
        <v>0.154</v>
      </c>
      <c r="T19" s="70">
        <f>H19*S19</f>
        <v>55.747999999999998</v>
      </c>
      <c r="U19" s="15">
        <f>T19*0.0283</f>
        <v>1.5776683999999999</v>
      </c>
      <c r="V19" s="16"/>
      <c r="W19" s="50" t="s">
        <v>42</v>
      </c>
    </row>
    <row r="20" spans="1:23" ht="24" customHeight="1">
      <c r="A20" s="9">
        <v>16</v>
      </c>
      <c r="B20" s="10">
        <v>54535</v>
      </c>
      <c r="C20" s="56" t="s">
        <v>212</v>
      </c>
      <c r="D20" s="10" t="s">
        <v>213</v>
      </c>
      <c r="E20" s="11" t="s">
        <v>214</v>
      </c>
      <c r="F20" s="12">
        <v>748</v>
      </c>
      <c r="G20" s="13">
        <v>4</v>
      </c>
      <c r="H20" s="12">
        <f>F20/G20</f>
        <v>187</v>
      </c>
      <c r="I20" s="14"/>
      <c r="J20" s="14"/>
      <c r="K20" s="14"/>
      <c r="L20" s="14"/>
      <c r="M20" s="14"/>
      <c r="N20" s="14"/>
      <c r="O20" s="58">
        <v>3.8</v>
      </c>
      <c r="P20" s="58">
        <f>O20*H20</f>
        <v>710.6</v>
      </c>
      <c r="Q20" s="58">
        <v>4</v>
      </c>
      <c r="R20" s="58">
        <f>H20*Q20</f>
        <v>748</v>
      </c>
      <c r="S20" s="15">
        <v>0.17699999999999999</v>
      </c>
      <c r="T20" s="70">
        <f>H20*S20</f>
        <v>33.098999999999997</v>
      </c>
      <c r="U20" s="15">
        <f>T20*0.0283</f>
        <v>0.93670169999999986</v>
      </c>
      <c r="V20" s="16"/>
      <c r="W20" s="50" t="s">
        <v>42</v>
      </c>
    </row>
    <row r="21" spans="1:23" ht="24" customHeight="1">
      <c r="A21" s="9">
        <v>17</v>
      </c>
      <c r="B21" s="10">
        <v>54535</v>
      </c>
      <c r="C21" s="56" t="s">
        <v>212</v>
      </c>
      <c r="D21" s="10" t="s">
        <v>213</v>
      </c>
      <c r="E21" s="11" t="s">
        <v>214</v>
      </c>
      <c r="F21" s="12">
        <v>116</v>
      </c>
      <c r="G21" s="13">
        <v>4</v>
      </c>
      <c r="H21" s="12">
        <f>F21/G21</f>
        <v>29</v>
      </c>
      <c r="I21" s="14"/>
      <c r="J21" s="14"/>
      <c r="K21" s="14"/>
      <c r="L21" s="14"/>
      <c r="M21" s="14"/>
      <c r="N21" s="14"/>
      <c r="O21" s="58">
        <v>3.8</v>
      </c>
      <c r="P21" s="58">
        <f>O21*H21</f>
        <v>110.19999999999999</v>
      </c>
      <c r="Q21" s="58">
        <v>4</v>
      </c>
      <c r="R21" s="58">
        <f>H21*Q21</f>
        <v>116</v>
      </c>
      <c r="S21" s="15">
        <v>0.17699999999999999</v>
      </c>
      <c r="T21" s="70">
        <f>H21*S21</f>
        <v>5.133</v>
      </c>
      <c r="U21" s="15">
        <f>T21*0.0283</f>
        <v>0.1452639</v>
      </c>
      <c r="V21" s="16"/>
      <c r="W21" s="50" t="s">
        <v>208</v>
      </c>
    </row>
    <row r="22" spans="1:23" ht="24" customHeight="1">
      <c r="A22" s="9">
        <v>18</v>
      </c>
      <c r="B22" s="10">
        <v>54536</v>
      </c>
      <c r="C22" s="56" t="s">
        <v>215</v>
      </c>
      <c r="D22" s="10" t="s">
        <v>213</v>
      </c>
      <c r="E22" s="11" t="s">
        <v>216</v>
      </c>
      <c r="F22" s="12">
        <v>624</v>
      </c>
      <c r="G22" s="13">
        <v>4</v>
      </c>
      <c r="H22" s="12">
        <f>F22/G22</f>
        <v>156</v>
      </c>
      <c r="I22" s="14"/>
      <c r="J22" s="14"/>
      <c r="K22" s="14"/>
      <c r="L22" s="14"/>
      <c r="M22" s="14"/>
      <c r="N22" s="14"/>
      <c r="O22" s="58">
        <v>4.7</v>
      </c>
      <c r="P22" s="58">
        <f>O22*H22</f>
        <v>733.2</v>
      </c>
      <c r="Q22" s="58">
        <v>4.9000000000000004</v>
      </c>
      <c r="R22" s="58">
        <f>H22*Q22</f>
        <v>764.40000000000009</v>
      </c>
      <c r="S22" s="15">
        <v>0.221</v>
      </c>
      <c r="T22" s="70">
        <f>H22*S22</f>
        <v>34.475999999999999</v>
      </c>
      <c r="U22" s="15">
        <f>T22*0.0283</f>
        <v>0.97567079999999995</v>
      </c>
      <c r="V22" s="16"/>
      <c r="W22" s="50" t="s">
        <v>42</v>
      </c>
    </row>
    <row r="23" spans="1:23" ht="24" customHeight="1">
      <c r="A23" s="9">
        <v>19</v>
      </c>
      <c r="B23" s="10">
        <v>54537</v>
      </c>
      <c r="C23" s="56" t="s">
        <v>217</v>
      </c>
      <c r="D23" s="10" t="s">
        <v>213</v>
      </c>
      <c r="E23" s="11" t="s">
        <v>218</v>
      </c>
      <c r="F23" s="12">
        <v>1316</v>
      </c>
      <c r="G23" s="13">
        <v>4</v>
      </c>
      <c r="H23" s="12">
        <f>F23/G23</f>
        <v>329</v>
      </c>
      <c r="I23" s="14"/>
      <c r="J23" s="14"/>
      <c r="K23" s="14"/>
      <c r="L23" s="14"/>
      <c r="M23" s="14"/>
      <c r="N23" s="14"/>
      <c r="O23" s="58">
        <v>5.5</v>
      </c>
      <c r="P23" s="58">
        <f>O23*H23</f>
        <v>1809.5</v>
      </c>
      <c r="Q23" s="58">
        <v>5.75</v>
      </c>
      <c r="R23" s="58">
        <f>H23*Q23</f>
        <v>1891.75</v>
      </c>
      <c r="S23" s="15">
        <v>0.26200000000000001</v>
      </c>
      <c r="T23" s="70">
        <f>H23*S23</f>
        <v>86.198000000000008</v>
      </c>
      <c r="U23" s="15">
        <f>T23*0.0283</f>
        <v>2.4394034000000002</v>
      </c>
      <c r="V23" s="16"/>
      <c r="W23" s="50" t="s">
        <v>42</v>
      </c>
    </row>
    <row r="24" spans="1:23" ht="24" customHeight="1">
      <c r="A24" s="9">
        <v>20</v>
      </c>
      <c r="B24" s="10">
        <v>54538</v>
      </c>
      <c r="C24" s="56" t="s">
        <v>219</v>
      </c>
      <c r="D24" s="10" t="s">
        <v>213</v>
      </c>
      <c r="E24" s="11" t="s">
        <v>220</v>
      </c>
      <c r="F24" s="12">
        <v>228</v>
      </c>
      <c r="G24" s="13">
        <v>4</v>
      </c>
      <c r="H24" s="12">
        <f>F24/G24</f>
        <v>57</v>
      </c>
      <c r="I24" s="14"/>
      <c r="J24" s="14"/>
      <c r="K24" s="14"/>
      <c r="L24" s="14"/>
      <c r="M24" s="14"/>
      <c r="N24" s="14"/>
      <c r="O24" s="58">
        <v>6.2</v>
      </c>
      <c r="P24" s="58">
        <f>O24*H24</f>
        <v>353.40000000000003</v>
      </c>
      <c r="Q24" s="58">
        <v>6.45</v>
      </c>
      <c r="R24" s="58">
        <f>H24*Q24</f>
        <v>367.65000000000003</v>
      </c>
      <c r="S24" s="15">
        <v>0.27700000000000002</v>
      </c>
      <c r="T24" s="70">
        <f>H24*S24</f>
        <v>15.789000000000001</v>
      </c>
      <c r="U24" s="15">
        <f>T24*0.0283</f>
        <v>0.44682870000000002</v>
      </c>
      <c r="V24" s="16"/>
      <c r="W24" s="50" t="s">
        <v>42</v>
      </c>
    </row>
    <row r="25" spans="1:23" ht="24" customHeight="1">
      <c r="A25" s="9">
        <v>21</v>
      </c>
      <c r="B25" s="10">
        <v>409733</v>
      </c>
      <c r="C25" s="56" t="s">
        <v>262</v>
      </c>
      <c r="D25" s="10" t="s">
        <v>263</v>
      </c>
      <c r="E25" s="11" t="s">
        <v>264</v>
      </c>
      <c r="F25" s="12">
        <v>20</v>
      </c>
      <c r="G25" s="13">
        <v>1</v>
      </c>
      <c r="H25" s="12">
        <f>F25/G25</f>
        <v>20</v>
      </c>
      <c r="I25" s="14"/>
      <c r="J25" s="14"/>
      <c r="K25" s="14"/>
      <c r="L25" s="14"/>
      <c r="M25" s="14"/>
      <c r="N25" s="14"/>
      <c r="O25" s="58">
        <v>4.4000000000000004</v>
      </c>
      <c r="P25" s="58">
        <f>O25*H25</f>
        <v>88</v>
      </c>
      <c r="Q25" s="58">
        <v>4.75</v>
      </c>
      <c r="R25" s="58">
        <f>H25*Q25</f>
        <v>95</v>
      </c>
      <c r="S25" s="15">
        <v>0.42199999999999999</v>
      </c>
      <c r="T25" s="70">
        <f>H25*S25</f>
        <v>8.44</v>
      </c>
      <c r="U25" s="15">
        <f>T25*0.0283</f>
        <v>0.23885199999999998</v>
      </c>
      <c r="V25" s="16"/>
      <c r="W25" s="50" t="s">
        <v>42</v>
      </c>
    </row>
    <row r="26" spans="1:23" ht="24" customHeight="1">
      <c r="A26" s="9">
        <v>22</v>
      </c>
      <c r="B26" s="10">
        <v>429389</v>
      </c>
      <c r="C26" s="56" t="s">
        <v>221</v>
      </c>
      <c r="D26" s="10" t="s">
        <v>222</v>
      </c>
      <c r="E26" s="11" t="s">
        <v>223</v>
      </c>
      <c r="F26" s="12">
        <v>84</v>
      </c>
      <c r="G26" s="13">
        <v>2</v>
      </c>
      <c r="H26" s="12">
        <f>F26/G26</f>
        <v>42</v>
      </c>
      <c r="I26" s="14"/>
      <c r="J26" s="14"/>
      <c r="K26" s="14"/>
      <c r="L26" s="14"/>
      <c r="M26" s="14"/>
      <c r="N26" s="14"/>
      <c r="O26" s="58">
        <v>0.72</v>
      </c>
      <c r="P26" s="58">
        <f>O26*H26</f>
        <v>30.24</v>
      </c>
      <c r="Q26" s="58">
        <v>0.87</v>
      </c>
      <c r="R26" s="58">
        <f>H26*Q26</f>
        <v>36.54</v>
      </c>
      <c r="S26" s="15">
        <v>5.7999999999999996E-2</v>
      </c>
      <c r="T26" s="70">
        <f>H26*S26</f>
        <v>2.4359999999999999</v>
      </c>
      <c r="U26" s="15">
        <f>T26*0.0283</f>
        <v>6.8938799999999995E-2</v>
      </c>
      <c r="V26" s="16"/>
      <c r="W26" s="50" t="s">
        <v>42</v>
      </c>
    </row>
    <row r="27" spans="1:23" ht="24" customHeight="1">
      <c r="A27" s="9">
        <v>23</v>
      </c>
      <c r="B27" s="10">
        <v>54166</v>
      </c>
      <c r="C27" s="56" t="s">
        <v>224</v>
      </c>
      <c r="D27" s="10" t="s">
        <v>222</v>
      </c>
      <c r="E27" s="11" t="s">
        <v>225</v>
      </c>
      <c r="F27" s="12">
        <v>190</v>
      </c>
      <c r="G27" s="13">
        <v>2</v>
      </c>
      <c r="H27" s="12">
        <f>F27/G27</f>
        <v>95</v>
      </c>
      <c r="I27" s="14"/>
      <c r="J27" s="14"/>
      <c r="K27" s="14"/>
      <c r="L27" s="14"/>
      <c r="M27" s="14"/>
      <c r="N27" s="14"/>
      <c r="O27" s="58">
        <v>0.88</v>
      </c>
      <c r="P27" s="58">
        <f>O27*H27</f>
        <v>83.6</v>
      </c>
      <c r="Q27" s="58">
        <v>1.05</v>
      </c>
      <c r="R27" s="58">
        <f>H27*Q27</f>
        <v>99.75</v>
      </c>
      <c r="S27" s="15">
        <v>7.8E-2</v>
      </c>
      <c r="T27" s="70">
        <f>H27*S27</f>
        <v>7.41</v>
      </c>
      <c r="U27" s="15">
        <f>T27*0.0283</f>
        <v>0.209703</v>
      </c>
      <c r="V27" s="16"/>
      <c r="W27" s="50" t="s">
        <v>208</v>
      </c>
    </row>
    <row r="28" spans="1:23" ht="24" customHeight="1">
      <c r="A28" s="9">
        <v>24</v>
      </c>
      <c r="B28" s="10">
        <v>54553</v>
      </c>
      <c r="C28" s="56" t="s">
        <v>200</v>
      </c>
      <c r="D28" s="10" t="s">
        <v>141</v>
      </c>
      <c r="E28" s="11"/>
      <c r="F28" s="12">
        <v>6700</v>
      </c>
      <c r="G28" s="13">
        <v>50</v>
      </c>
      <c r="H28" s="12">
        <f>F28/G28</f>
        <v>134</v>
      </c>
      <c r="I28" s="14"/>
      <c r="J28" s="14"/>
      <c r="K28" s="14"/>
      <c r="L28" s="14"/>
      <c r="M28" s="14"/>
      <c r="N28" s="14"/>
      <c r="O28" s="58">
        <v>0.44</v>
      </c>
      <c r="P28" s="58">
        <f>O28*H28</f>
        <v>58.96</v>
      </c>
      <c r="Q28" s="58">
        <v>0.7</v>
      </c>
      <c r="R28" s="58">
        <f>H28*Q28</f>
        <v>93.8</v>
      </c>
      <c r="S28" s="15">
        <v>0.30499999999999999</v>
      </c>
      <c r="T28" s="70">
        <f>H28*S28</f>
        <v>40.869999999999997</v>
      </c>
      <c r="U28" s="15">
        <f>T28*0.0283</f>
        <v>1.1566209999999999</v>
      </c>
      <c r="V28" s="16"/>
      <c r="W28" s="50" t="s">
        <v>42</v>
      </c>
    </row>
    <row r="29" spans="1:23" ht="24" customHeight="1">
      <c r="A29" s="9">
        <v>25</v>
      </c>
      <c r="B29" s="10">
        <v>429388</v>
      </c>
      <c r="C29" s="56" t="s">
        <v>233</v>
      </c>
      <c r="D29" s="10" t="s">
        <v>234</v>
      </c>
      <c r="E29" s="11" t="s">
        <v>223</v>
      </c>
      <c r="F29" s="12">
        <v>190</v>
      </c>
      <c r="G29" s="13">
        <v>10</v>
      </c>
      <c r="H29" s="12">
        <f>F29/G29</f>
        <v>19</v>
      </c>
      <c r="I29" s="14"/>
      <c r="J29" s="14"/>
      <c r="K29" s="14"/>
      <c r="L29" s="14"/>
      <c r="M29" s="14"/>
      <c r="N29" s="14"/>
      <c r="O29" s="58">
        <v>3.2</v>
      </c>
      <c r="P29" s="58">
        <f>O29*H29</f>
        <v>60.800000000000004</v>
      </c>
      <c r="Q29" s="58">
        <v>3.53</v>
      </c>
      <c r="R29" s="58">
        <f>H29*Q29</f>
        <v>67.069999999999993</v>
      </c>
      <c r="S29" s="15">
        <v>0.248</v>
      </c>
      <c r="T29" s="70">
        <f>H29*S29</f>
        <v>4.7119999999999997</v>
      </c>
      <c r="U29" s="15">
        <f>T29*0.0283</f>
        <v>0.13334959999999998</v>
      </c>
      <c r="V29" s="16"/>
      <c r="W29" s="50" t="s">
        <v>203</v>
      </c>
    </row>
    <row r="30" spans="1:23" ht="24" customHeight="1">
      <c r="A30" s="9">
        <v>26</v>
      </c>
      <c r="B30" s="10">
        <v>54269</v>
      </c>
      <c r="C30" s="56" t="s">
        <v>235</v>
      </c>
      <c r="D30" s="10" t="s">
        <v>234</v>
      </c>
      <c r="E30" s="11" t="s">
        <v>225</v>
      </c>
      <c r="F30" s="12">
        <v>800</v>
      </c>
      <c r="G30" s="13">
        <v>10</v>
      </c>
      <c r="H30" s="12">
        <f>F30/G30</f>
        <v>80</v>
      </c>
      <c r="I30" s="14"/>
      <c r="J30" s="14"/>
      <c r="K30" s="14"/>
      <c r="L30" s="14"/>
      <c r="M30" s="14"/>
      <c r="N30" s="14"/>
      <c r="O30" s="58">
        <v>3.8</v>
      </c>
      <c r="P30" s="58">
        <f>O30*H30</f>
        <v>304</v>
      </c>
      <c r="Q30" s="58">
        <v>4.18</v>
      </c>
      <c r="R30" s="58">
        <f>H30*Q30</f>
        <v>334.4</v>
      </c>
      <c r="S30" s="15">
        <v>0.34300000000000003</v>
      </c>
      <c r="T30" s="70">
        <f>H30*S30</f>
        <v>27.44</v>
      </c>
      <c r="U30" s="15">
        <f>T30*0.0283</f>
        <v>0.77655200000000002</v>
      </c>
      <c r="V30" s="16"/>
      <c r="W30" s="50" t="s">
        <v>42</v>
      </c>
    </row>
    <row r="31" spans="1:23" ht="24" customHeight="1">
      <c r="A31" s="9">
        <v>27</v>
      </c>
      <c r="B31" s="10">
        <v>54271</v>
      </c>
      <c r="C31" s="56" t="s">
        <v>236</v>
      </c>
      <c r="D31" s="10" t="s">
        <v>234</v>
      </c>
      <c r="E31" s="11" t="s">
        <v>237</v>
      </c>
      <c r="F31" s="12">
        <v>200</v>
      </c>
      <c r="G31" s="13">
        <v>10</v>
      </c>
      <c r="H31" s="12">
        <f>F31/G31</f>
        <v>20</v>
      </c>
      <c r="I31" s="14"/>
      <c r="J31" s="14"/>
      <c r="K31" s="14"/>
      <c r="L31" s="14"/>
      <c r="M31" s="14"/>
      <c r="N31" s="14"/>
      <c r="O31" s="58">
        <v>4.8</v>
      </c>
      <c r="P31" s="58">
        <f>O31*H31</f>
        <v>96</v>
      </c>
      <c r="Q31" s="58">
        <v>5.2700000000000005</v>
      </c>
      <c r="R31" s="58">
        <f>H31*Q31</f>
        <v>105.4</v>
      </c>
      <c r="S31" s="15">
        <v>0.45600000000000002</v>
      </c>
      <c r="T31" s="70">
        <f>H31*S31</f>
        <v>9.120000000000001</v>
      </c>
      <c r="U31" s="15">
        <f>T31*0.0283</f>
        <v>0.25809599999999999</v>
      </c>
      <c r="V31" s="16"/>
      <c r="W31" s="50" t="s">
        <v>42</v>
      </c>
    </row>
    <row r="32" spans="1:23" ht="24" customHeight="1">
      <c r="A32" s="9">
        <v>28</v>
      </c>
      <c r="B32" s="10">
        <v>54272</v>
      </c>
      <c r="C32" s="56" t="s">
        <v>238</v>
      </c>
      <c r="D32" s="10" t="s">
        <v>234</v>
      </c>
      <c r="E32" s="11" t="s">
        <v>239</v>
      </c>
      <c r="F32" s="12">
        <v>90</v>
      </c>
      <c r="G32" s="13">
        <v>10</v>
      </c>
      <c r="H32" s="12">
        <f>F32/G32</f>
        <v>9</v>
      </c>
      <c r="I32" s="14"/>
      <c r="J32" s="14"/>
      <c r="K32" s="14"/>
      <c r="L32" s="14"/>
      <c r="M32" s="14"/>
      <c r="N32" s="14"/>
      <c r="O32" s="58">
        <v>5.7</v>
      </c>
      <c r="P32" s="58">
        <f>O32*H32</f>
        <v>51.300000000000004</v>
      </c>
      <c r="Q32" s="58">
        <v>6.3</v>
      </c>
      <c r="R32" s="58">
        <f>H32*Q32</f>
        <v>56.699999999999996</v>
      </c>
      <c r="S32" s="15">
        <v>0.56499999999999995</v>
      </c>
      <c r="T32" s="70">
        <f>H32*S32</f>
        <v>5.0849999999999991</v>
      </c>
      <c r="U32" s="15">
        <f>T32*0.0283</f>
        <v>0.14390549999999996</v>
      </c>
      <c r="V32" s="16"/>
      <c r="W32" s="50" t="s">
        <v>203</v>
      </c>
    </row>
    <row r="33" spans="1:23" ht="24" customHeight="1">
      <c r="A33" s="9">
        <v>29</v>
      </c>
      <c r="B33" s="10">
        <v>54273</v>
      </c>
      <c r="C33" s="56" t="s">
        <v>240</v>
      </c>
      <c r="D33" s="10" t="s">
        <v>234</v>
      </c>
      <c r="E33" s="11" t="s">
        <v>144</v>
      </c>
      <c r="F33" s="12">
        <v>230</v>
      </c>
      <c r="G33" s="13">
        <v>10</v>
      </c>
      <c r="H33" s="12">
        <f>F33/G33</f>
        <v>23</v>
      </c>
      <c r="I33" s="14"/>
      <c r="J33" s="14"/>
      <c r="K33" s="14"/>
      <c r="L33" s="14"/>
      <c r="M33" s="14"/>
      <c r="N33" s="14"/>
      <c r="O33" s="58">
        <v>6.6</v>
      </c>
      <c r="P33" s="58">
        <f>O33*H33</f>
        <v>151.79999999999998</v>
      </c>
      <c r="Q33" s="58">
        <v>7.2799999999999994</v>
      </c>
      <c r="R33" s="58">
        <f>H33*Q33</f>
        <v>167.44</v>
      </c>
      <c r="S33" s="15">
        <v>0.67100000000000004</v>
      </c>
      <c r="T33" s="70">
        <f>H33*S33</f>
        <v>15.433000000000002</v>
      </c>
      <c r="U33" s="15">
        <f>T33*0.0283</f>
        <v>0.43675390000000003</v>
      </c>
      <c r="V33" s="16"/>
      <c r="W33" s="50" t="s">
        <v>203</v>
      </c>
    </row>
    <row r="34" spans="1:23" ht="24" customHeight="1">
      <c r="A34" s="9">
        <v>30</v>
      </c>
      <c r="B34" s="10">
        <v>54275</v>
      </c>
      <c r="C34" s="56" t="s">
        <v>241</v>
      </c>
      <c r="D34" s="10" t="s">
        <v>234</v>
      </c>
      <c r="E34" s="11" t="s">
        <v>214</v>
      </c>
      <c r="F34" s="12">
        <v>140</v>
      </c>
      <c r="G34" s="13">
        <v>10</v>
      </c>
      <c r="H34" s="12">
        <f>F34/G34</f>
        <v>14</v>
      </c>
      <c r="I34" s="14"/>
      <c r="J34" s="14"/>
      <c r="K34" s="14"/>
      <c r="L34" s="14"/>
      <c r="M34" s="14"/>
      <c r="N34" s="14"/>
      <c r="O34" s="58">
        <v>8.5</v>
      </c>
      <c r="P34" s="58">
        <f>O34*H34</f>
        <v>119</v>
      </c>
      <c r="Q34" s="58">
        <v>9.35</v>
      </c>
      <c r="R34" s="58">
        <f>H34*Q34</f>
        <v>130.9</v>
      </c>
      <c r="S34" s="15">
        <v>0.82199999999999995</v>
      </c>
      <c r="T34" s="70">
        <f>H34*S34</f>
        <v>11.507999999999999</v>
      </c>
      <c r="U34" s="15">
        <f>T34*0.0283</f>
        <v>0.32567639999999998</v>
      </c>
      <c r="V34" s="16"/>
      <c r="W34" s="50" t="s">
        <v>203</v>
      </c>
    </row>
    <row r="35" spans="1:23" ht="24" customHeight="1">
      <c r="A35" s="9">
        <v>31</v>
      </c>
      <c r="B35" s="10">
        <v>87831</v>
      </c>
      <c r="C35" s="56" t="s">
        <v>270</v>
      </c>
      <c r="D35" s="10" t="s">
        <v>271</v>
      </c>
      <c r="E35" s="11" t="s">
        <v>62</v>
      </c>
      <c r="F35" s="12">
        <v>402</v>
      </c>
      <c r="G35" s="13">
        <v>1</v>
      </c>
      <c r="H35" s="12">
        <f>F35/G35</f>
        <v>402</v>
      </c>
      <c r="I35" s="14"/>
      <c r="J35" s="14"/>
      <c r="K35" s="14"/>
      <c r="L35" s="14"/>
      <c r="M35" s="14"/>
      <c r="N35" s="14"/>
      <c r="O35" s="58">
        <v>0.25</v>
      </c>
      <c r="P35" s="58">
        <f>O35*H35</f>
        <v>100.5</v>
      </c>
      <c r="Q35" s="58">
        <v>0.3</v>
      </c>
      <c r="R35" s="58">
        <f>H35*Q35</f>
        <v>120.6</v>
      </c>
      <c r="S35" s="15">
        <v>1.4000000000000002E-2</v>
      </c>
      <c r="T35" s="70">
        <f>H35*S35</f>
        <v>5.628000000000001</v>
      </c>
      <c r="U35" s="15">
        <f>T35*0.0283</f>
        <v>0.15927240000000001</v>
      </c>
      <c r="V35" s="16"/>
      <c r="W35" s="50" t="s">
        <v>203</v>
      </c>
    </row>
    <row r="36" spans="1:23" ht="24" customHeight="1">
      <c r="A36" s="9">
        <v>32</v>
      </c>
      <c r="B36" s="10">
        <v>87832</v>
      </c>
      <c r="C36" s="56" t="s">
        <v>272</v>
      </c>
      <c r="D36" s="10" t="s">
        <v>271</v>
      </c>
      <c r="E36" s="11" t="s">
        <v>205</v>
      </c>
      <c r="F36" s="12">
        <v>400</v>
      </c>
      <c r="G36" s="13">
        <v>1</v>
      </c>
      <c r="H36" s="12">
        <f>F36/G36</f>
        <v>400</v>
      </c>
      <c r="I36" s="14"/>
      <c r="J36" s="14"/>
      <c r="K36" s="14"/>
      <c r="L36" s="14"/>
      <c r="M36" s="14"/>
      <c r="N36" s="14"/>
      <c r="O36" s="58">
        <v>0.5</v>
      </c>
      <c r="P36" s="58">
        <f>O36*H36</f>
        <v>200</v>
      </c>
      <c r="Q36" s="58">
        <v>0.55000000000000004</v>
      </c>
      <c r="R36" s="58">
        <f>H36*Q36</f>
        <v>220.00000000000003</v>
      </c>
      <c r="S36" s="15">
        <v>2.7000000000000003E-2</v>
      </c>
      <c r="T36" s="70">
        <f>H36*S36</f>
        <v>10.8</v>
      </c>
      <c r="U36" s="15">
        <f>T36*0.0283</f>
        <v>0.30564000000000002</v>
      </c>
      <c r="V36" s="16"/>
      <c r="W36" s="50" t="s">
        <v>42</v>
      </c>
    </row>
    <row r="37" spans="1:23" ht="24" customHeight="1">
      <c r="A37" s="9">
        <v>33</v>
      </c>
      <c r="B37" s="10">
        <v>87838</v>
      </c>
      <c r="C37" s="56" t="s">
        <v>273</v>
      </c>
      <c r="D37" s="10" t="s">
        <v>271</v>
      </c>
      <c r="E37" s="11" t="s">
        <v>225</v>
      </c>
      <c r="F37" s="12">
        <v>312</v>
      </c>
      <c r="G37" s="13">
        <v>1</v>
      </c>
      <c r="H37" s="12">
        <f>F37/G37</f>
        <v>312</v>
      </c>
      <c r="I37" s="14"/>
      <c r="J37" s="14"/>
      <c r="K37" s="14"/>
      <c r="L37" s="14"/>
      <c r="M37" s="14"/>
      <c r="N37" s="14"/>
      <c r="O37" s="58">
        <v>0.7</v>
      </c>
      <c r="P37" s="58">
        <f>O37*H37</f>
        <v>218.39999999999998</v>
      </c>
      <c r="Q37" s="58">
        <v>0.75</v>
      </c>
      <c r="R37" s="58">
        <f>H37*Q37</f>
        <v>234</v>
      </c>
      <c r="S37" s="15">
        <v>4.9000000000000002E-2</v>
      </c>
      <c r="T37" s="70">
        <f>H37*S37</f>
        <v>15.288</v>
      </c>
      <c r="U37" s="15">
        <f>T37*0.0283</f>
        <v>0.43265039999999999</v>
      </c>
      <c r="V37" s="16"/>
      <c r="W37" s="50" t="s">
        <v>203</v>
      </c>
    </row>
    <row r="38" spans="1:23" ht="24" customHeight="1">
      <c r="A38" s="9">
        <v>34</v>
      </c>
      <c r="B38" s="10">
        <v>455741</v>
      </c>
      <c r="C38" s="56" t="s">
        <v>276</v>
      </c>
      <c r="D38" s="10" t="s">
        <v>263</v>
      </c>
      <c r="E38" s="11" t="s">
        <v>277</v>
      </c>
      <c r="F38" s="12">
        <v>122</v>
      </c>
      <c r="G38" s="13">
        <v>1</v>
      </c>
      <c r="H38" s="12">
        <f>F38/G38</f>
        <v>122</v>
      </c>
      <c r="I38" s="14"/>
      <c r="J38" s="14"/>
      <c r="K38" s="14"/>
      <c r="L38" s="14"/>
      <c r="M38" s="14"/>
      <c r="N38" s="14"/>
      <c r="O38" s="58">
        <v>1.3900000000000001</v>
      </c>
      <c r="P38" s="58">
        <f>O38*H38</f>
        <v>169.58</v>
      </c>
      <c r="Q38" s="58">
        <v>1.59</v>
      </c>
      <c r="R38" s="58">
        <f>H38*Q38</f>
        <v>193.98000000000002</v>
      </c>
      <c r="S38" s="15">
        <v>0.24099999999999999</v>
      </c>
      <c r="T38" s="70">
        <f>H38*S38</f>
        <v>29.401999999999997</v>
      </c>
      <c r="U38" s="15">
        <f>T38*0.0283</f>
        <v>0.83207659999999994</v>
      </c>
      <c r="V38" s="16"/>
      <c r="W38" s="50" t="s">
        <v>42</v>
      </c>
    </row>
    <row r="39" spans="1:23" ht="24" customHeight="1">
      <c r="A39" s="9">
        <v>35</v>
      </c>
      <c r="B39" s="10">
        <v>87843</v>
      </c>
      <c r="C39" s="56" t="s">
        <v>274</v>
      </c>
      <c r="D39" s="10" t="s">
        <v>271</v>
      </c>
      <c r="E39" s="11" t="s">
        <v>237</v>
      </c>
      <c r="F39" s="12">
        <v>228</v>
      </c>
      <c r="G39" s="13">
        <v>1</v>
      </c>
      <c r="H39" s="12">
        <f>F39/G39</f>
        <v>228</v>
      </c>
      <c r="I39" s="14"/>
      <c r="J39" s="14"/>
      <c r="K39" s="14"/>
      <c r="L39" s="14"/>
      <c r="M39" s="14"/>
      <c r="N39" s="14"/>
      <c r="O39" s="58">
        <v>0.95</v>
      </c>
      <c r="P39" s="58">
        <f>O39*H39</f>
        <v>216.6</v>
      </c>
      <c r="Q39" s="58">
        <v>1.05</v>
      </c>
      <c r="R39" s="58">
        <f>H39*Q39</f>
        <v>239.4</v>
      </c>
      <c r="S39" s="15">
        <v>6.5000000000000002E-2</v>
      </c>
      <c r="T39" s="70">
        <f>H39*S39</f>
        <v>14.82</v>
      </c>
      <c r="U39" s="15">
        <f>T39*0.0283</f>
        <v>0.419406</v>
      </c>
      <c r="V39" s="16"/>
      <c r="W39" s="50" t="s">
        <v>203</v>
      </c>
    </row>
    <row r="40" spans="1:23" ht="24" customHeight="1">
      <c r="A40" s="9">
        <v>36</v>
      </c>
      <c r="B40" s="10">
        <v>455723</v>
      </c>
      <c r="C40" s="56" t="s">
        <v>278</v>
      </c>
      <c r="D40" s="10" t="s">
        <v>263</v>
      </c>
      <c r="E40" s="11" t="s">
        <v>279</v>
      </c>
      <c r="F40" s="12">
        <v>60</v>
      </c>
      <c r="G40" s="13">
        <v>1</v>
      </c>
      <c r="H40" s="12">
        <f>F40/G40</f>
        <v>60</v>
      </c>
      <c r="I40" s="14"/>
      <c r="J40" s="14"/>
      <c r="K40" s="14"/>
      <c r="L40" s="14"/>
      <c r="M40" s="14"/>
      <c r="N40" s="14"/>
      <c r="O40" s="58">
        <v>1.7100000000000002</v>
      </c>
      <c r="P40" s="58">
        <f>O40*H40</f>
        <v>102.60000000000001</v>
      </c>
      <c r="Q40" s="58">
        <v>1.9600000000000002</v>
      </c>
      <c r="R40" s="58">
        <f>H40*Q40</f>
        <v>117.60000000000001</v>
      </c>
      <c r="S40" s="15">
        <v>0.307</v>
      </c>
      <c r="T40" s="70">
        <f>H40*S40</f>
        <v>18.419999999999998</v>
      </c>
      <c r="U40" s="15">
        <f>T40*0.0283</f>
        <v>0.52128599999999992</v>
      </c>
      <c r="V40" s="16"/>
      <c r="W40" s="50" t="s">
        <v>42</v>
      </c>
    </row>
    <row r="41" spans="1:23" ht="24" customHeight="1">
      <c r="A41" s="9">
        <v>37</v>
      </c>
      <c r="B41" s="10">
        <v>87844</v>
      </c>
      <c r="C41" s="56" t="s">
        <v>275</v>
      </c>
      <c r="D41" s="10" t="s">
        <v>271</v>
      </c>
      <c r="E41" s="11" t="s">
        <v>144</v>
      </c>
      <c r="F41" s="12">
        <v>166</v>
      </c>
      <c r="G41" s="13">
        <v>1</v>
      </c>
      <c r="H41" s="12">
        <f>F41/G41</f>
        <v>166</v>
      </c>
      <c r="I41" s="14"/>
      <c r="J41" s="14"/>
      <c r="K41" s="14"/>
      <c r="L41" s="14"/>
      <c r="M41" s="14"/>
      <c r="N41" s="14"/>
      <c r="O41" s="58">
        <v>1.35</v>
      </c>
      <c r="P41" s="58">
        <f>O41*H41</f>
        <v>224.10000000000002</v>
      </c>
      <c r="Q41" s="58">
        <v>1.45</v>
      </c>
      <c r="R41" s="58">
        <f>H41*Q41</f>
        <v>240.7</v>
      </c>
      <c r="S41" s="15">
        <v>9.2999999999999999E-2</v>
      </c>
      <c r="T41" s="70">
        <f>H41*S41</f>
        <v>15.438000000000001</v>
      </c>
      <c r="U41" s="15">
        <f>T41*0.0283</f>
        <v>0.43689539999999999</v>
      </c>
      <c r="V41" s="16"/>
      <c r="W41" s="50" t="s">
        <v>42</v>
      </c>
    </row>
    <row r="42" spans="1:23" ht="24" customHeight="1">
      <c r="A42" s="9">
        <v>38</v>
      </c>
      <c r="B42" s="10">
        <v>651525</v>
      </c>
      <c r="C42" s="56" t="s">
        <v>56</v>
      </c>
      <c r="D42" s="10" t="s">
        <v>52</v>
      </c>
      <c r="E42" s="11" t="s">
        <v>57</v>
      </c>
      <c r="F42" s="12">
        <v>2</v>
      </c>
      <c r="G42" s="13">
        <v>2</v>
      </c>
      <c r="H42" s="12">
        <f>F42/G42</f>
        <v>1</v>
      </c>
      <c r="I42" s="14"/>
      <c r="J42" s="14"/>
      <c r="K42" s="14"/>
      <c r="L42" s="14"/>
      <c r="M42" s="14"/>
      <c r="N42" s="14"/>
      <c r="O42" s="58">
        <v>4.8</v>
      </c>
      <c r="P42" s="58">
        <f>O42*H42</f>
        <v>4.8</v>
      </c>
      <c r="Q42" s="58">
        <v>5.8</v>
      </c>
      <c r="R42" s="58">
        <f>H42*Q42</f>
        <v>5.8</v>
      </c>
      <c r="S42" s="15">
        <v>2.093</v>
      </c>
      <c r="T42" s="70">
        <f>H42*S42</f>
        <v>2.093</v>
      </c>
      <c r="U42" s="15">
        <f>T42*0.0283</f>
        <v>5.9231899999999997E-2</v>
      </c>
      <c r="V42" s="16"/>
      <c r="W42" s="50" t="s">
        <v>42</v>
      </c>
    </row>
    <row r="43" spans="1:23" ht="24" customHeight="1">
      <c r="A43" s="9">
        <v>39</v>
      </c>
      <c r="B43" s="10">
        <v>643323</v>
      </c>
      <c r="C43" s="56" t="s">
        <v>51</v>
      </c>
      <c r="D43" s="10" t="s">
        <v>52</v>
      </c>
      <c r="E43" s="11" t="s">
        <v>53</v>
      </c>
      <c r="F43" s="12">
        <v>56</v>
      </c>
      <c r="G43" s="13">
        <v>2</v>
      </c>
      <c r="H43" s="12">
        <f>F43/G43</f>
        <v>28</v>
      </c>
      <c r="I43" s="14"/>
      <c r="J43" s="14"/>
      <c r="K43" s="14"/>
      <c r="L43" s="14"/>
      <c r="M43" s="14"/>
      <c r="N43" s="14"/>
      <c r="O43" s="58">
        <v>2.9</v>
      </c>
      <c r="P43" s="58">
        <f>O43*H43</f>
        <v>81.2</v>
      </c>
      <c r="Q43" s="58">
        <v>3.5</v>
      </c>
      <c r="R43" s="58">
        <f>H43*Q43</f>
        <v>98</v>
      </c>
      <c r="S43" s="15">
        <v>1.075</v>
      </c>
      <c r="T43" s="70">
        <f>H43*S43</f>
        <v>30.099999999999998</v>
      </c>
      <c r="U43" s="15">
        <f>T43*0.0283</f>
        <v>0.85182999999999987</v>
      </c>
      <c r="V43" s="16"/>
      <c r="W43" s="50" t="s">
        <v>42</v>
      </c>
    </row>
    <row r="44" spans="1:23" ht="24" customHeight="1">
      <c r="A44" s="9">
        <v>40</v>
      </c>
      <c r="B44" s="10">
        <v>655707</v>
      </c>
      <c r="C44" s="56" t="s">
        <v>54</v>
      </c>
      <c r="D44" s="10" t="s">
        <v>52</v>
      </c>
      <c r="E44" s="11" t="s">
        <v>55</v>
      </c>
      <c r="F44" s="12">
        <v>56</v>
      </c>
      <c r="G44" s="13">
        <v>2</v>
      </c>
      <c r="H44" s="12">
        <f>F44/G44</f>
        <v>28</v>
      </c>
      <c r="I44" s="14"/>
      <c r="J44" s="14"/>
      <c r="K44" s="14"/>
      <c r="L44" s="14"/>
      <c r="M44" s="14"/>
      <c r="N44" s="14"/>
      <c r="O44" s="58">
        <v>3.4</v>
      </c>
      <c r="P44" s="58">
        <f>O44*H44</f>
        <v>95.2</v>
      </c>
      <c r="Q44" s="58">
        <v>4.0999999999999996</v>
      </c>
      <c r="R44" s="58">
        <f>H44*Q44</f>
        <v>114.79999999999998</v>
      </c>
      <c r="S44" s="15">
        <v>1.3320000000000001</v>
      </c>
      <c r="T44" s="70">
        <f>H44*S44</f>
        <v>37.295999999999999</v>
      </c>
      <c r="U44" s="15">
        <f>T44*0.0283</f>
        <v>1.0554767999999999</v>
      </c>
      <c r="V44" s="16"/>
      <c r="W44" s="50" t="s">
        <v>42</v>
      </c>
    </row>
    <row r="45" spans="1:23" ht="24" customHeight="1">
      <c r="A45" s="9">
        <v>41</v>
      </c>
      <c r="B45" s="10">
        <v>655709</v>
      </c>
      <c r="C45" s="56" t="s">
        <v>71</v>
      </c>
      <c r="D45" s="10" t="s">
        <v>52</v>
      </c>
      <c r="E45" s="11" t="s">
        <v>72</v>
      </c>
      <c r="F45" s="12">
        <v>94</v>
      </c>
      <c r="G45" s="13">
        <v>2</v>
      </c>
      <c r="H45" s="12">
        <f>F45/G45</f>
        <v>47</v>
      </c>
      <c r="I45" s="14"/>
      <c r="J45" s="14"/>
      <c r="K45" s="14"/>
      <c r="L45" s="14"/>
      <c r="M45" s="14"/>
      <c r="N45" s="14"/>
      <c r="O45" s="58">
        <v>3.8</v>
      </c>
      <c r="P45" s="58">
        <f>O45*H45</f>
        <v>178.6</v>
      </c>
      <c r="Q45" s="58">
        <v>4.5999999999999996</v>
      </c>
      <c r="R45" s="58">
        <f>H45*Q45</f>
        <v>216.2</v>
      </c>
      <c r="S45" s="15">
        <v>1.579</v>
      </c>
      <c r="T45" s="70">
        <f>H45*S45</f>
        <v>74.212999999999994</v>
      </c>
      <c r="U45" s="15">
        <f>T45*0.0283</f>
        <v>2.1002278999999997</v>
      </c>
      <c r="V45" s="16"/>
      <c r="W45" s="50" t="s">
        <v>42</v>
      </c>
    </row>
    <row r="46" spans="1:23" ht="24" customHeight="1">
      <c r="A46" s="9">
        <v>42</v>
      </c>
      <c r="B46" s="10">
        <v>455886</v>
      </c>
      <c r="C46" s="56" t="s">
        <v>268</v>
      </c>
      <c r="D46" s="10" t="s">
        <v>269</v>
      </c>
      <c r="E46" s="11"/>
      <c r="F46" s="12">
        <v>100</v>
      </c>
      <c r="G46" s="13">
        <v>50</v>
      </c>
      <c r="H46" s="12">
        <f>F46/G46</f>
        <v>2</v>
      </c>
      <c r="I46" s="14"/>
      <c r="J46" s="14"/>
      <c r="K46" s="14"/>
      <c r="L46" s="14"/>
      <c r="M46" s="14"/>
      <c r="N46" s="14"/>
      <c r="O46" s="58">
        <v>3</v>
      </c>
      <c r="P46" s="58">
        <f>O46*H46</f>
        <v>6</v>
      </c>
      <c r="Q46" s="58">
        <v>3.35</v>
      </c>
      <c r="R46" s="58">
        <f>H46*Q46</f>
        <v>6.7</v>
      </c>
      <c r="S46" s="15">
        <v>0.29499999999999998</v>
      </c>
      <c r="T46" s="70">
        <f>H46*S46</f>
        <v>0.59</v>
      </c>
      <c r="U46" s="15">
        <f>T46*0.0283</f>
        <v>1.6697E-2</v>
      </c>
      <c r="V46" s="16"/>
      <c r="W46" s="50" t="s">
        <v>203</v>
      </c>
    </row>
    <row r="47" spans="1:23" ht="24" customHeight="1">
      <c r="A47" s="9">
        <v>43</v>
      </c>
      <c r="B47" s="10">
        <v>54548</v>
      </c>
      <c r="C47" s="56" t="s">
        <v>260</v>
      </c>
      <c r="D47" s="10" t="s">
        <v>258</v>
      </c>
      <c r="E47" s="11" t="s">
        <v>261</v>
      </c>
      <c r="F47" s="12">
        <v>100</v>
      </c>
      <c r="G47" s="13">
        <v>1</v>
      </c>
      <c r="H47" s="12">
        <f>F47/G47</f>
        <v>100</v>
      </c>
      <c r="I47" s="14"/>
      <c r="J47" s="14"/>
      <c r="K47" s="14"/>
      <c r="L47" s="14"/>
      <c r="M47" s="14"/>
      <c r="N47" s="14"/>
      <c r="O47" s="58">
        <v>1.1599999999999999</v>
      </c>
      <c r="P47" s="58">
        <f>O47*H47</f>
        <v>115.99999999999999</v>
      </c>
      <c r="Q47" s="58">
        <v>1.7600000000000002</v>
      </c>
      <c r="R47" s="58">
        <f>H47*Q47</f>
        <v>176.00000000000003</v>
      </c>
      <c r="S47" s="15">
        <v>0.497</v>
      </c>
      <c r="T47" s="70">
        <f>H47*S47</f>
        <v>49.7</v>
      </c>
      <c r="U47" s="15">
        <f>T47*0.0283</f>
        <v>1.4065099999999999</v>
      </c>
      <c r="V47" s="16"/>
      <c r="W47" s="50" t="s">
        <v>42</v>
      </c>
    </row>
    <row r="48" spans="1:23" ht="24" customHeight="1">
      <c r="A48" s="9">
        <v>44</v>
      </c>
      <c r="B48" s="10">
        <v>54547</v>
      </c>
      <c r="C48" s="56" t="s">
        <v>257</v>
      </c>
      <c r="D48" s="10" t="s">
        <v>258</v>
      </c>
      <c r="E48" s="11" t="s">
        <v>259</v>
      </c>
      <c r="F48" s="12">
        <v>16</v>
      </c>
      <c r="G48" s="13">
        <v>1</v>
      </c>
      <c r="H48" s="12">
        <f>F48/G48</f>
        <v>16</v>
      </c>
      <c r="I48" s="14"/>
      <c r="J48" s="14"/>
      <c r="K48" s="14"/>
      <c r="L48" s="14"/>
      <c r="M48" s="14"/>
      <c r="N48" s="14"/>
      <c r="O48" s="58">
        <v>1.56</v>
      </c>
      <c r="P48" s="58">
        <f>O48*H48</f>
        <v>24.96</v>
      </c>
      <c r="Q48" s="58">
        <v>2.37</v>
      </c>
      <c r="R48" s="58">
        <f>H48*Q48</f>
        <v>37.92</v>
      </c>
      <c r="S48" s="15">
        <v>0.79</v>
      </c>
      <c r="T48" s="70">
        <f>H48*S48</f>
        <v>12.64</v>
      </c>
      <c r="U48" s="15">
        <f>T48*0.0283</f>
        <v>0.35771199999999997</v>
      </c>
      <c r="V48" s="16"/>
      <c r="W48" s="50" t="s">
        <v>42</v>
      </c>
    </row>
    <row r="49" spans="1:23" ht="24" customHeight="1">
      <c r="A49" s="9">
        <v>45</v>
      </c>
      <c r="B49" s="10">
        <v>621506</v>
      </c>
      <c r="C49" s="56" t="s">
        <v>39</v>
      </c>
      <c r="D49" s="10" t="s">
        <v>40</v>
      </c>
      <c r="E49" s="11" t="s">
        <v>41</v>
      </c>
      <c r="F49" s="12">
        <v>1006</v>
      </c>
      <c r="G49" s="13">
        <v>1</v>
      </c>
      <c r="H49" s="12">
        <f>F49/G49</f>
        <v>1006</v>
      </c>
      <c r="I49" s="14"/>
      <c r="J49" s="14"/>
      <c r="K49" s="14"/>
      <c r="L49" s="14"/>
      <c r="M49" s="14"/>
      <c r="N49" s="14"/>
      <c r="O49" s="58">
        <v>12</v>
      </c>
      <c r="P49" s="58">
        <f>O49*H49</f>
        <v>12072</v>
      </c>
      <c r="Q49" s="58">
        <v>13.15</v>
      </c>
      <c r="R49" s="58">
        <f>H49*Q49</f>
        <v>13228.9</v>
      </c>
      <c r="S49" s="15">
        <v>2.7389999999999999</v>
      </c>
      <c r="T49" s="70">
        <f>H49*S49</f>
        <v>2755.4339999999997</v>
      </c>
      <c r="U49" s="15">
        <f>T49*0.0283</f>
        <v>77.978782199999984</v>
      </c>
      <c r="V49" s="16"/>
      <c r="W49" s="50" t="s">
        <v>42</v>
      </c>
    </row>
    <row r="50" spans="1:23" ht="24" customHeight="1">
      <c r="A50" s="9">
        <v>46</v>
      </c>
      <c r="B50" s="10">
        <v>621511</v>
      </c>
      <c r="C50" s="56" t="s">
        <v>43</v>
      </c>
      <c r="D50" s="10" t="s">
        <v>44</v>
      </c>
      <c r="E50" s="11" t="s">
        <v>45</v>
      </c>
      <c r="F50" s="12">
        <v>532</v>
      </c>
      <c r="G50" s="13">
        <v>1</v>
      </c>
      <c r="H50" s="12">
        <f>F50/G50</f>
        <v>532</v>
      </c>
      <c r="I50" s="14"/>
      <c r="J50" s="14"/>
      <c r="K50" s="14"/>
      <c r="L50" s="14"/>
      <c r="M50" s="14"/>
      <c r="N50" s="14"/>
      <c r="O50" s="58">
        <v>11.55</v>
      </c>
      <c r="P50" s="58">
        <f>O50*H50</f>
        <v>6144.6</v>
      </c>
      <c r="Q50" s="58">
        <v>12.5</v>
      </c>
      <c r="R50" s="58">
        <f>H50*Q50</f>
        <v>6650</v>
      </c>
      <c r="S50" s="15">
        <v>2.0940000000000003</v>
      </c>
      <c r="T50" s="70">
        <f>H50*S50</f>
        <v>1114.0080000000003</v>
      </c>
      <c r="U50" s="15">
        <f>T50*0.0283</f>
        <v>31.526426400000005</v>
      </c>
      <c r="V50" s="16"/>
      <c r="W50" s="50" t="s">
        <v>42</v>
      </c>
    </row>
    <row r="51" spans="1:23" ht="24" customHeight="1">
      <c r="A51" s="9">
        <v>47</v>
      </c>
      <c r="B51" s="10">
        <v>621507</v>
      </c>
      <c r="C51" s="56" t="s">
        <v>49</v>
      </c>
      <c r="D51" s="10" t="s">
        <v>50</v>
      </c>
      <c r="E51" s="11" t="s">
        <v>45</v>
      </c>
      <c r="F51" s="12">
        <v>546</v>
      </c>
      <c r="G51" s="13">
        <v>1</v>
      </c>
      <c r="H51" s="12">
        <f>F51/G51</f>
        <v>546</v>
      </c>
      <c r="I51" s="14"/>
      <c r="J51" s="14"/>
      <c r="K51" s="14"/>
      <c r="L51" s="14"/>
      <c r="M51" s="14"/>
      <c r="N51" s="14"/>
      <c r="O51" s="58">
        <v>14.4</v>
      </c>
      <c r="P51" s="58">
        <f>O51*H51</f>
        <v>7862.4000000000005</v>
      </c>
      <c r="Q51" s="58">
        <v>15.65</v>
      </c>
      <c r="R51" s="58">
        <f>H51*Q51</f>
        <v>8544.9</v>
      </c>
      <c r="S51" s="15">
        <v>3.3850000000000002</v>
      </c>
      <c r="T51" s="70">
        <f>H51*S51</f>
        <v>1848.21</v>
      </c>
      <c r="U51" s="15">
        <f>T51*0.0283</f>
        <v>52.304342999999996</v>
      </c>
      <c r="V51" s="16"/>
      <c r="W51" s="50" t="s">
        <v>42</v>
      </c>
    </row>
    <row r="52" spans="1:23" ht="24" customHeight="1">
      <c r="A52" s="9">
        <v>48</v>
      </c>
      <c r="B52" s="10">
        <v>621504</v>
      </c>
      <c r="C52" s="56" t="s">
        <v>46</v>
      </c>
      <c r="D52" s="10" t="s">
        <v>47</v>
      </c>
      <c r="E52" s="11" t="s">
        <v>48</v>
      </c>
      <c r="F52" s="12">
        <v>138</v>
      </c>
      <c r="G52" s="13">
        <v>1</v>
      </c>
      <c r="H52" s="12">
        <f>F52/G52</f>
        <v>138</v>
      </c>
      <c r="I52" s="14"/>
      <c r="J52" s="14"/>
      <c r="K52" s="14"/>
      <c r="L52" s="14"/>
      <c r="M52" s="14"/>
      <c r="N52" s="14"/>
      <c r="O52" s="58">
        <v>8.35</v>
      </c>
      <c r="P52" s="58">
        <f>O52*H52</f>
        <v>1152.3</v>
      </c>
      <c r="Q52" s="58">
        <v>9.35</v>
      </c>
      <c r="R52" s="58">
        <f>H52*Q52</f>
        <v>1290.3</v>
      </c>
      <c r="S52" s="15">
        <v>2.0940000000000003</v>
      </c>
      <c r="T52" s="70">
        <f>H52*S52</f>
        <v>288.97200000000004</v>
      </c>
      <c r="U52" s="15">
        <f>T52*0.0283</f>
        <v>8.1779076000000011</v>
      </c>
      <c r="V52" s="16"/>
      <c r="W52" s="50" t="s">
        <v>42</v>
      </c>
    </row>
    <row r="53" spans="1:23" ht="24" customHeight="1">
      <c r="A53" s="9">
        <v>49</v>
      </c>
      <c r="B53" s="10">
        <v>251860</v>
      </c>
      <c r="C53" s="56" t="s">
        <v>280</v>
      </c>
      <c r="D53" s="10" t="s">
        <v>281</v>
      </c>
      <c r="E53" s="11" t="s">
        <v>152</v>
      </c>
      <c r="F53" s="12">
        <v>354</v>
      </c>
      <c r="G53" s="13">
        <v>6</v>
      </c>
      <c r="H53" s="12">
        <f>F53/G53</f>
        <v>59</v>
      </c>
      <c r="I53" s="14"/>
      <c r="J53" s="14"/>
      <c r="K53" s="14"/>
      <c r="L53" s="14"/>
      <c r="M53" s="14"/>
      <c r="N53" s="14"/>
      <c r="O53" s="58">
        <v>3.12</v>
      </c>
      <c r="P53" s="58">
        <f>O53*H53</f>
        <v>184.08</v>
      </c>
      <c r="Q53" s="58">
        <v>3.4200000000000004</v>
      </c>
      <c r="R53" s="58">
        <f>H53*Q53</f>
        <v>201.78000000000003</v>
      </c>
      <c r="S53" s="15">
        <v>0.252</v>
      </c>
      <c r="T53" s="70">
        <f>H53*S53</f>
        <v>14.868</v>
      </c>
      <c r="U53" s="15">
        <f>T53*0.0283</f>
        <v>0.42076439999999998</v>
      </c>
      <c r="V53" s="16"/>
      <c r="W53" s="50" t="s">
        <v>42</v>
      </c>
    </row>
    <row r="54" spans="1:23" ht="24" customHeight="1">
      <c r="A54" s="9">
        <v>50</v>
      </c>
      <c r="B54" s="10">
        <v>244689</v>
      </c>
      <c r="C54" s="56" t="s">
        <v>155</v>
      </c>
      <c r="D54" s="10" t="s">
        <v>156</v>
      </c>
      <c r="E54" s="11"/>
      <c r="F54" s="12">
        <v>100</v>
      </c>
      <c r="G54" s="13">
        <v>100</v>
      </c>
      <c r="H54" s="12">
        <f>F54/G54</f>
        <v>1</v>
      </c>
      <c r="I54" s="14"/>
      <c r="J54" s="14"/>
      <c r="K54" s="14"/>
      <c r="L54" s="14"/>
      <c r="M54" s="14"/>
      <c r="N54" s="14"/>
      <c r="O54" s="58">
        <v>8.0500000000000007</v>
      </c>
      <c r="P54" s="58">
        <f>O54*H54</f>
        <v>8.0500000000000007</v>
      </c>
      <c r="Q54" s="58">
        <v>8.4499999999999993</v>
      </c>
      <c r="R54" s="58">
        <f>H54*Q54</f>
        <v>8.4499999999999993</v>
      </c>
      <c r="S54" s="15">
        <v>0.375</v>
      </c>
      <c r="T54" s="70">
        <f>H54*S54</f>
        <v>0.375</v>
      </c>
      <c r="U54" s="15">
        <f>T54*0.0283</f>
        <v>1.06125E-2</v>
      </c>
      <c r="V54" s="16"/>
      <c r="W54" s="50" t="s">
        <v>42</v>
      </c>
    </row>
    <row r="55" spans="1:23" ht="24" customHeight="1">
      <c r="A55" s="9">
        <v>51</v>
      </c>
      <c r="B55" s="10">
        <v>244687</v>
      </c>
      <c r="C55" s="56" t="s">
        <v>148</v>
      </c>
      <c r="D55" s="10" t="s">
        <v>149</v>
      </c>
      <c r="E55" s="11" t="s">
        <v>147</v>
      </c>
      <c r="F55" s="12">
        <v>450</v>
      </c>
      <c r="G55" s="13">
        <v>50</v>
      </c>
      <c r="H55" s="12">
        <f>F55/G55</f>
        <v>9</v>
      </c>
      <c r="I55" s="14"/>
      <c r="J55" s="14"/>
      <c r="K55" s="14"/>
      <c r="L55" s="14"/>
      <c r="M55" s="14"/>
      <c r="N55" s="14"/>
      <c r="O55" s="58">
        <v>9.5</v>
      </c>
      <c r="P55" s="58">
        <f>O55*H55</f>
        <v>85.5</v>
      </c>
      <c r="Q55" s="58">
        <v>10.199999999999999</v>
      </c>
      <c r="R55" s="58">
        <f>H55*Q55</f>
        <v>91.8</v>
      </c>
      <c r="S55" s="15">
        <v>1.28</v>
      </c>
      <c r="T55" s="70">
        <f>H55*S55</f>
        <v>11.52</v>
      </c>
      <c r="U55" s="15">
        <f>T55*0.0283</f>
        <v>0.32601599999999997</v>
      </c>
      <c r="V55" s="16"/>
      <c r="W55" s="50" t="s">
        <v>42</v>
      </c>
    </row>
    <row r="56" spans="1:23" ht="24" customHeight="1">
      <c r="A56" s="9">
        <v>52</v>
      </c>
      <c r="B56" s="10">
        <v>244686</v>
      </c>
      <c r="C56" s="56" t="s">
        <v>145</v>
      </c>
      <c r="D56" s="10" t="s">
        <v>146</v>
      </c>
      <c r="E56" s="11" t="s">
        <v>147</v>
      </c>
      <c r="F56" s="12">
        <v>500</v>
      </c>
      <c r="G56" s="13">
        <v>50</v>
      </c>
      <c r="H56" s="12">
        <f>F56/G56</f>
        <v>10</v>
      </c>
      <c r="I56" s="14"/>
      <c r="J56" s="14"/>
      <c r="K56" s="14"/>
      <c r="L56" s="14"/>
      <c r="M56" s="14"/>
      <c r="N56" s="14"/>
      <c r="O56" s="58">
        <v>8</v>
      </c>
      <c r="P56" s="58">
        <f>O56*H56</f>
        <v>80</v>
      </c>
      <c r="Q56" s="58">
        <v>8.6999999999999993</v>
      </c>
      <c r="R56" s="58">
        <f>H56*Q56</f>
        <v>87</v>
      </c>
      <c r="S56" s="15">
        <v>1.28</v>
      </c>
      <c r="T56" s="70">
        <f>H56*S56</f>
        <v>12.8</v>
      </c>
      <c r="U56" s="15">
        <f>T56*0.0283</f>
        <v>0.36224000000000001</v>
      </c>
      <c r="V56" s="16"/>
      <c r="W56" s="50" t="s">
        <v>42</v>
      </c>
    </row>
    <row r="57" spans="1:23" ht="24" customHeight="1">
      <c r="A57" s="9">
        <v>53</v>
      </c>
      <c r="B57" s="10">
        <v>287737</v>
      </c>
      <c r="C57" s="56" t="s">
        <v>150</v>
      </c>
      <c r="D57" s="10" t="s">
        <v>151</v>
      </c>
      <c r="E57" s="11" t="s">
        <v>152</v>
      </c>
      <c r="F57" s="12">
        <v>200</v>
      </c>
      <c r="G57" s="13">
        <v>20</v>
      </c>
      <c r="H57" s="12">
        <f>F57/G57</f>
        <v>10</v>
      </c>
      <c r="I57" s="14"/>
      <c r="J57" s="14"/>
      <c r="K57" s="14"/>
      <c r="L57" s="14"/>
      <c r="M57" s="14"/>
      <c r="N57" s="14"/>
      <c r="O57" s="58">
        <v>11.7</v>
      </c>
      <c r="P57" s="58">
        <f>O57*H57</f>
        <v>117</v>
      </c>
      <c r="Q57" s="58">
        <v>12.3</v>
      </c>
      <c r="R57" s="58">
        <f>H57*Q57</f>
        <v>123</v>
      </c>
      <c r="S57" s="15">
        <v>0.82499999999999996</v>
      </c>
      <c r="T57" s="70">
        <f>H57*S57</f>
        <v>8.25</v>
      </c>
      <c r="U57" s="15">
        <f>T57*0.0283</f>
        <v>0.23347499999999999</v>
      </c>
      <c r="V57" s="16"/>
      <c r="W57" s="50" t="s">
        <v>42</v>
      </c>
    </row>
    <row r="58" spans="1:23" ht="24" customHeight="1">
      <c r="A58" s="9">
        <v>54</v>
      </c>
      <c r="B58" s="10">
        <v>287738</v>
      </c>
      <c r="C58" s="56" t="s">
        <v>153</v>
      </c>
      <c r="D58" s="10" t="s">
        <v>151</v>
      </c>
      <c r="E58" s="11" t="s">
        <v>154</v>
      </c>
      <c r="F58" s="12">
        <v>20</v>
      </c>
      <c r="G58" s="13">
        <v>20</v>
      </c>
      <c r="H58" s="12">
        <f>F58/G58</f>
        <v>1</v>
      </c>
      <c r="I58" s="14"/>
      <c r="J58" s="14"/>
      <c r="K58" s="14"/>
      <c r="L58" s="14"/>
      <c r="M58" s="14"/>
      <c r="N58" s="14"/>
      <c r="O58" s="58">
        <v>21.7</v>
      </c>
      <c r="P58" s="58">
        <f>O58*H58</f>
        <v>21.7</v>
      </c>
      <c r="Q58" s="58">
        <v>22.5</v>
      </c>
      <c r="R58" s="58">
        <f>H58*Q58</f>
        <v>22.5</v>
      </c>
      <c r="S58" s="15">
        <v>1.4300000000000002</v>
      </c>
      <c r="T58" s="70">
        <f>H58*S58</f>
        <v>1.4300000000000002</v>
      </c>
      <c r="U58" s="15">
        <f>T58*0.0283</f>
        <v>4.0469000000000005E-2</v>
      </c>
      <c r="V58" s="16"/>
      <c r="W58" s="50" t="s">
        <v>42</v>
      </c>
    </row>
    <row r="59" spans="1:23" ht="24" customHeight="1">
      <c r="A59" s="9">
        <v>55</v>
      </c>
      <c r="B59" s="10">
        <v>258243</v>
      </c>
      <c r="C59" s="56" t="s">
        <v>157</v>
      </c>
      <c r="D59" s="10" t="s">
        <v>158</v>
      </c>
      <c r="E59" s="11"/>
      <c r="F59" s="12">
        <v>50</v>
      </c>
      <c r="G59" s="13">
        <v>50</v>
      </c>
      <c r="H59" s="12">
        <f>F59/G59</f>
        <v>1</v>
      </c>
      <c r="I59" s="14"/>
      <c r="J59" s="14"/>
      <c r="K59" s="14"/>
      <c r="L59" s="14"/>
      <c r="M59" s="14"/>
      <c r="N59" s="14"/>
      <c r="O59" s="58">
        <v>8.1999999999999993</v>
      </c>
      <c r="P59" s="58">
        <f>O59*H59</f>
        <v>8.1999999999999993</v>
      </c>
      <c r="Q59" s="58">
        <v>8.6</v>
      </c>
      <c r="R59" s="58">
        <f>H59*Q59</f>
        <v>8.6</v>
      </c>
      <c r="S59" s="15">
        <v>0.379</v>
      </c>
      <c r="T59" s="70">
        <f>H59*S59</f>
        <v>0.379</v>
      </c>
      <c r="U59" s="15">
        <f>T59*0.0283</f>
        <v>1.0725699999999999E-2</v>
      </c>
      <c r="V59" s="16"/>
      <c r="W59" s="50" t="s">
        <v>42</v>
      </c>
    </row>
    <row r="60" spans="1:23" ht="24" customHeight="1">
      <c r="A60" s="9">
        <v>56</v>
      </c>
      <c r="B60" s="10">
        <v>244688</v>
      </c>
      <c r="C60" s="56" t="s">
        <v>140</v>
      </c>
      <c r="D60" s="10" t="s">
        <v>141</v>
      </c>
      <c r="E60" s="11"/>
      <c r="F60" s="12">
        <v>2100</v>
      </c>
      <c r="G60" s="13">
        <v>100</v>
      </c>
      <c r="H60" s="12">
        <f>F60/G60</f>
        <v>21</v>
      </c>
      <c r="I60" s="14"/>
      <c r="J60" s="14"/>
      <c r="K60" s="14"/>
      <c r="L60" s="14"/>
      <c r="M60" s="14"/>
      <c r="N60" s="14"/>
      <c r="O60" s="58">
        <v>3.5</v>
      </c>
      <c r="P60" s="58">
        <f>O60*H60</f>
        <v>73.5</v>
      </c>
      <c r="Q60" s="58">
        <v>4</v>
      </c>
      <c r="R60" s="58">
        <f>H60*Q60</f>
        <v>84</v>
      </c>
      <c r="S60" s="15">
        <v>0.76</v>
      </c>
      <c r="T60" s="70">
        <f>H60*S60</f>
        <v>15.96</v>
      </c>
      <c r="U60" s="15">
        <f>T60*0.0283</f>
        <v>0.45166800000000001</v>
      </c>
      <c r="V60" s="16"/>
      <c r="W60" s="50" t="s">
        <v>42</v>
      </c>
    </row>
    <row r="61" spans="1:23" ht="24" customHeight="1">
      <c r="A61" s="9">
        <v>57</v>
      </c>
      <c r="B61" s="10">
        <v>230322</v>
      </c>
      <c r="C61" s="56" t="s">
        <v>142</v>
      </c>
      <c r="D61" s="10" t="s">
        <v>143</v>
      </c>
      <c r="E61" s="11" t="s">
        <v>144</v>
      </c>
      <c r="F61" s="12">
        <v>70</v>
      </c>
      <c r="G61" s="13">
        <v>10</v>
      </c>
      <c r="H61" s="12">
        <f>F61/G61</f>
        <v>7</v>
      </c>
      <c r="I61" s="14"/>
      <c r="J61" s="14"/>
      <c r="K61" s="14"/>
      <c r="L61" s="14"/>
      <c r="M61" s="14"/>
      <c r="N61" s="14"/>
      <c r="O61" s="58">
        <v>9.35</v>
      </c>
      <c r="P61" s="58">
        <f>O61*H61</f>
        <v>65.45</v>
      </c>
      <c r="Q61" s="58">
        <v>10.3</v>
      </c>
      <c r="R61" s="58">
        <f>H61*Q61</f>
        <v>72.100000000000009</v>
      </c>
      <c r="S61" s="15">
        <v>1.0509999999999999</v>
      </c>
      <c r="T61" s="70">
        <f>H61*S61</f>
        <v>7.3569999999999993</v>
      </c>
      <c r="U61" s="15">
        <f>T61*0.0283</f>
        <v>0.20820309999999997</v>
      </c>
      <c r="V61" s="16"/>
      <c r="W61" s="50" t="s">
        <v>42</v>
      </c>
    </row>
    <row r="62" spans="1:23" ht="24" customHeight="1">
      <c r="A62" s="9">
        <v>58</v>
      </c>
      <c r="B62" s="10">
        <v>230330</v>
      </c>
      <c r="C62" s="56" t="s">
        <v>159</v>
      </c>
      <c r="D62" s="10" t="s">
        <v>160</v>
      </c>
      <c r="E62" s="11"/>
      <c r="F62" s="12">
        <v>200</v>
      </c>
      <c r="G62" s="13">
        <v>100</v>
      </c>
      <c r="H62" s="12">
        <f>F62/G62</f>
        <v>2</v>
      </c>
      <c r="I62" s="14"/>
      <c r="J62" s="14"/>
      <c r="K62" s="14"/>
      <c r="L62" s="14"/>
      <c r="M62" s="14"/>
      <c r="N62" s="14"/>
      <c r="O62" s="58">
        <v>16</v>
      </c>
      <c r="P62" s="58">
        <f>O62*H62</f>
        <v>32</v>
      </c>
      <c r="Q62" s="58">
        <v>16.43</v>
      </c>
      <c r="R62" s="58">
        <f>H62*Q62</f>
        <v>32.86</v>
      </c>
      <c r="S62" s="15">
        <v>0.45900000000000002</v>
      </c>
      <c r="T62" s="70">
        <f>H62*S62</f>
        <v>0.91800000000000004</v>
      </c>
      <c r="U62" s="15">
        <f>T62*0.0283</f>
        <v>2.59794E-2</v>
      </c>
      <c r="V62" s="16"/>
      <c r="W62" s="50" t="s">
        <v>42</v>
      </c>
    </row>
    <row r="63" spans="1:23" ht="24" customHeight="1">
      <c r="A63" s="9">
        <v>59</v>
      </c>
      <c r="B63" s="10">
        <v>342239</v>
      </c>
      <c r="C63" s="56" t="s">
        <v>296</v>
      </c>
      <c r="D63" s="10" t="s">
        <v>297</v>
      </c>
      <c r="E63" s="11" t="s">
        <v>298</v>
      </c>
      <c r="F63" s="12">
        <v>144</v>
      </c>
      <c r="G63" s="13">
        <v>48</v>
      </c>
      <c r="H63" s="12">
        <f>F63/G63</f>
        <v>3</v>
      </c>
      <c r="I63" s="14"/>
      <c r="J63" s="14"/>
      <c r="K63" s="14"/>
      <c r="L63" s="14"/>
      <c r="M63" s="14"/>
      <c r="N63" s="14"/>
      <c r="O63" s="58">
        <v>3.15</v>
      </c>
      <c r="P63" s="58">
        <f>O63*H63</f>
        <v>9.4499999999999993</v>
      </c>
      <c r="Q63" s="58">
        <v>3.6</v>
      </c>
      <c r="R63" s="58">
        <f>H63*Q63</f>
        <v>10.8</v>
      </c>
      <c r="S63" s="15">
        <v>0.60299999999999998</v>
      </c>
      <c r="T63" s="70">
        <f>H63*S63</f>
        <v>1.8089999999999999</v>
      </c>
      <c r="U63" s="15">
        <f>T63*0.0283</f>
        <v>5.1194699999999996E-2</v>
      </c>
      <c r="V63" s="16"/>
      <c r="W63" s="50" t="s">
        <v>42</v>
      </c>
    </row>
    <row r="64" spans="1:23" ht="24" customHeight="1">
      <c r="A64" s="9">
        <v>60</v>
      </c>
      <c r="B64" s="10">
        <v>342238</v>
      </c>
      <c r="C64" s="56" t="s">
        <v>293</v>
      </c>
      <c r="D64" s="10" t="s">
        <v>294</v>
      </c>
      <c r="E64" s="11" t="s">
        <v>295</v>
      </c>
      <c r="F64" s="12">
        <v>144</v>
      </c>
      <c r="G64" s="13">
        <v>48</v>
      </c>
      <c r="H64" s="12">
        <f>F64/G64</f>
        <v>3</v>
      </c>
      <c r="I64" s="14"/>
      <c r="J64" s="14"/>
      <c r="K64" s="14"/>
      <c r="L64" s="14"/>
      <c r="M64" s="14"/>
      <c r="N64" s="14"/>
      <c r="O64" s="58">
        <v>4.0999999999999996</v>
      </c>
      <c r="P64" s="58">
        <f>O64*H64</f>
        <v>12.299999999999999</v>
      </c>
      <c r="Q64" s="58">
        <v>4.7</v>
      </c>
      <c r="R64" s="58">
        <f>H64*Q64</f>
        <v>14.100000000000001</v>
      </c>
      <c r="S64" s="15">
        <v>0.68200000000000005</v>
      </c>
      <c r="T64" s="70">
        <f>H64*S64</f>
        <v>2.0460000000000003</v>
      </c>
      <c r="U64" s="15">
        <f>T64*0.0283</f>
        <v>5.7901800000000003E-2</v>
      </c>
      <c r="V64" s="16"/>
      <c r="W64" s="50" t="s">
        <v>42</v>
      </c>
    </row>
    <row r="65" spans="1:23" ht="24" customHeight="1">
      <c r="A65" s="9">
        <v>61</v>
      </c>
      <c r="B65" s="10">
        <v>305617</v>
      </c>
      <c r="C65" s="56" t="s">
        <v>290</v>
      </c>
      <c r="D65" s="10" t="s">
        <v>291</v>
      </c>
      <c r="E65" s="11" t="s">
        <v>292</v>
      </c>
      <c r="F65" s="12">
        <v>24</v>
      </c>
      <c r="G65" s="13">
        <v>12</v>
      </c>
      <c r="H65" s="12">
        <f>F65/G65</f>
        <v>2</v>
      </c>
      <c r="I65" s="14"/>
      <c r="J65" s="14"/>
      <c r="K65" s="14"/>
      <c r="L65" s="14"/>
      <c r="M65" s="14"/>
      <c r="N65" s="14"/>
      <c r="O65" s="58">
        <v>2.4</v>
      </c>
      <c r="P65" s="58">
        <f>O65*H65</f>
        <v>4.8</v>
      </c>
      <c r="Q65" s="58">
        <v>3.2700000000000005</v>
      </c>
      <c r="R65" s="58">
        <f>H65*Q65</f>
        <v>6.5400000000000009</v>
      </c>
      <c r="S65" s="15">
        <v>0.19800000000000001</v>
      </c>
      <c r="T65" s="70">
        <f>H65*S65</f>
        <v>0.39600000000000002</v>
      </c>
      <c r="U65" s="15">
        <f>T65*0.0283</f>
        <v>1.1206799999999999E-2</v>
      </c>
      <c r="V65" s="16"/>
      <c r="W65" s="50" t="s">
        <v>42</v>
      </c>
    </row>
    <row r="66" spans="1:23" ht="24" customHeight="1">
      <c r="A66" s="9">
        <v>62</v>
      </c>
      <c r="B66" s="10">
        <v>738301</v>
      </c>
      <c r="C66" s="56" t="s">
        <v>285</v>
      </c>
      <c r="D66" s="10" t="s">
        <v>286</v>
      </c>
      <c r="E66" s="11" t="s">
        <v>287</v>
      </c>
      <c r="F66" s="12">
        <v>240</v>
      </c>
      <c r="G66" s="13">
        <v>3</v>
      </c>
      <c r="H66" s="12">
        <f>F66/G66</f>
        <v>80</v>
      </c>
      <c r="I66" s="14"/>
      <c r="J66" s="14"/>
      <c r="K66" s="14"/>
      <c r="L66" s="14"/>
      <c r="M66" s="14"/>
      <c r="N66" s="14"/>
      <c r="O66" s="58">
        <v>0.6</v>
      </c>
      <c r="P66" s="58">
        <f>O66*H66</f>
        <v>48</v>
      </c>
      <c r="Q66" s="58">
        <v>0.86</v>
      </c>
      <c r="R66" s="58">
        <f>H66*Q66</f>
        <v>68.8</v>
      </c>
      <c r="S66" s="15">
        <v>0.30099999999999999</v>
      </c>
      <c r="T66" s="70">
        <f>H66*S66</f>
        <v>24.08</v>
      </c>
      <c r="U66" s="15">
        <f>T66*0.0283</f>
        <v>0.68146399999999996</v>
      </c>
      <c r="V66" s="16"/>
      <c r="W66" s="50" t="s">
        <v>42</v>
      </c>
    </row>
    <row r="67" spans="1:23" ht="24" customHeight="1">
      <c r="A67" s="9">
        <v>63</v>
      </c>
      <c r="B67" s="10">
        <v>738302</v>
      </c>
      <c r="C67" s="56" t="s">
        <v>288</v>
      </c>
      <c r="D67" s="10" t="s">
        <v>286</v>
      </c>
      <c r="E67" s="11" t="s">
        <v>289</v>
      </c>
      <c r="F67" s="12">
        <v>192</v>
      </c>
      <c r="G67" s="13">
        <v>3</v>
      </c>
      <c r="H67" s="12">
        <f>F67/G67</f>
        <v>64</v>
      </c>
      <c r="I67" s="14"/>
      <c r="J67" s="14"/>
      <c r="K67" s="14"/>
      <c r="L67" s="14"/>
      <c r="M67" s="14"/>
      <c r="N67" s="14"/>
      <c r="O67" s="58">
        <v>0.78</v>
      </c>
      <c r="P67" s="58">
        <f>O67*H67</f>
        <v>49.92</v>
      </c>
      <c r="Q67" s="58">
        <v>1.1000000000000001</v>
      </c>
      <c r="R67" s="58">
        <f>H67*Q67</f>
        <v>70.400000000000006</v>
      </c>
      <c r="S67" s="15">
        <v>0.41199999999999998</v>
      </c>
      <c r="T67" s="70">
        <f>H67*S67</f>
        <v>26.367999999999999</v>
      </c>
      <c r="U67" s="15">
        <f>T67*0.0283</f>
        <v>0.74621439999999994</v>
      </c>
      <c r="V67" s="16"/>
      <c r="W67" s="50" t="s">
        <v>42</v>
      </c>
    </row>
    <row r="68" spans="1:23" ht="24" customHeight="1">
      <c r="A68" s="9">
        <v>64</v>
      </c>
      <c r="B68" s="10">
        <v>738296</v>
      </c>
      <c r="C68" s="56" t="s">
        <v>282</v>
      </c>
      <c r="D68" s="10" t="s">
        <v>283</v>
      </c>
      <c r="E68" s="11" t="s">
        <v>249</v>
      </c>
      <c r="F68" s="12">
        <v>222</v>
      </c>
      <c r="G68" s="13">
        <v>3</v>
      </c>
      <c r="H68" s="12">
        <f>F68/G68</f>
        <v>74</v>
      </c>
      <c r="I68" s="14"/>
      <c r="J68" s="14"/>
      <c r="K68" s="14"/>
      <c r="L68" s="14"/>
      <c r="M68" s="14"/>
      <c r="N68" s="14"/>
      <c r="O68" s="58">
        <v>0.52</v>
      </c>
      <c r="P68" s="58">
        <f>O68*H68</f>
        <v>38.480000000000004</v>
      </c>
      <c r="Q68" s="58">
        <v>0.67</v>
      </c>
      <c r="R68" s="58">
        <f>H68*Q68</f>
        <v>49.580000000000005</v>
      </c>
      <c r="S68" s="15">
        <v>0.128</v>
      </c>
      <c r="T68" s="70">
        <f>H68*S68</f>
        <v>9.4719999999999995</v>
      </c>
      <c r="U68" s="15">
        <f>T68*0.0283</f>
        <v>0.26805759999999995</v>
      </c>
      <c r="V68" s="16"/>
      <c r="W68" s="50" t="s">
        <v>42</v>
      </c>
    </row>
    <row r="69" spans="1:23" ht="24" customHeight="1">
      <c r="A69" s="9">
        <v>65</v>
      </c>
      <c r="B69" s="10">
        <v>738297</v>
      </c>
      <c r="C69" s="56" t="s">
        <v>284</v>
      </c>
      <c r="D69" s="10" t="s">
        <v>283</v>
      </c>
      <c r="E69" s="11" t="s">
        <v>205</v>
      </c>
      <c r="F69" s="12">
        <v>156</v>
      </c>
      <c r="G69" s="13">
        <v>3</v>
      </c>
      <c r="H69" s="12">
        <f>F69/G69</f>
        <v>52</v>
      </c>
      <c r="I69" s="14"/>
      <c r="J69" s="14"/>
      <c r="K69" s="14"/>
      <c r="L69" s="14"/>
      <c r="M69" s="14"/>
      <c r="N69" s="14"/>
      <c r="O69" s="58">
        <v>0.64</v>
      </c>
      <c r="P69" s="58">
        <f>O69*H69</f>
        <v>33.28</v>
      </c>
      <c r="Q69" s="58">
        <v>0.82</v>
      </c>
      <c r="R69" s="58">
        <f>H69*Q69</f>
        <v>42.64</v>
      </c>
      <c r="S69" s="15">
        <v>0.17699999999999999</v>
      </c>
      <c r="T69" s="70">
        <f>H69*S69</f>
        <v>9.2039999999999988</v>
      </c>
      <c r="U69" s="15">
        <f>T69*0.0283</f>
        <v>0.26047319999999996</v>
      </c>
      <c r="V69" s="16"/>
      <c r="W69" s="50" t="s">
        <v>42</v>
      </c>
    </row>
    <row r="70" spans="1:23" ht="24" customHeight="1">
      <c r="A70" s="9">
        <v>66</v>
      </c>
      <c r="B70" s="10">
        <v>705431</v>
      </c>
      <c r="C70" s="56" t="s">
        <v>335</v>
      </c>
      <c r="D70" s="10" t="s">
        <v>336</v>
      </c>
      <c r="E70" s="11" t="s">
        <v>337</v>
      </c>
      <c r="F70" s="12">
        <v>8</v>
      </c>
      <c r="G70" s="13">
        <v>1</v>
      </c>
      <c r="H70" s="12">
        <f>F70/G70</f>
        <v>8</v>
      </c>
      <c r="I70" s="14"/>
      <c r="J70" s="14"/>
      <c r="K70" s="14"/>
      <c r="L70" s="14"/>
      <c r="M70" s="14"/>
      <c r="N70" s="14"/>
      <c r="O70" s="58">
        <v>6</v>
      </c>
      <c r="P70" s="58">
        <f>O70*H70</f>
        <v>48</v>
      </c>
      <c r="Q70" s="58">
        <v>6.6</v>
      </c>
      <c r="R70" s="58">
        <f>H70*Q70</f>
        <v>52.8</v>
      </c>
      <c r="S70" s="15">
        <v>1.212</v>
      </c>
      <c r="T70" s="70">
        <f>H70*S70</f>
        <v>9.6959999999999997</v>
      </c>
      <c r="U70" s="15">
        <f>T70*0.0283</f>
        <v>0.2743968</v>
      </c>
      <c r="V70" s="16"/>
      <c r="W70" s="50" t="s">
        <v>42</v>
      </c>
    </row>
    <row r="71" spans="1:23" ht="24" customHeight="1">
      <c r="A71" s="9">
        <v>67</v>
      </c>
      <c r="B71" s="10">
        <v>705271</v>
      </c>
      <c r="C71" s="56" t="s">
        <v>332</v>
      </c>
      <c r="D71" s="10" t="s">
        <v>333</v>
      </c>
      <c r="E71" s="11" t="s">
        <v>334</v>
      </c>
      <c r="F71" s="12">
        <v>18</v>
      </c>
      <c r="G71" s="13">
        <v>1</v>
      </c>
      <c r="H71" s="12">
        <f>F71/G71</f>
        <v>18</v>
      </c>
      <c r="I71" s="14"/>
      <c r="J71" s="14"/>
      <c r="K71" s="14"/>
      <c r="L71" s="14"/>
      <c r="M71" s="14"/>
      <c r="N71" s="14"/>
      <c r="O71" s="58">
        <v>9.1</v>
      </c>
      <c r="P71" s="58">
        <f>O71*H71</f>
        <v>163.79999999999998</v>
      </c>
      <c r="Q71" s="58">
        <v>9.8000000000000007</v>
      </c>
      <c r="R71" s="58">
        <f>H71*Q71</f>
        <v>176.4</v>
      </c>
      <c r="S71" s="15">
        <v>1.448</v>
      </c>
      <c r="T71" s="70">
        <f>H71*S71</f>
        <v>26.064</v>
      </c>
      <c r="U71" s="15">
        <f>T71*0.0283</f>
        <v>0.73761120000000002</v>
      </c>
      <c r="V71" s="16"/>
      <c r="W71" s="50" t="s">
        <v>42</v>
      </c>
    </row>
    <row r="72" spans="1:23" ht="24" customHeight="1">
      <c r="A72" s="9">
        <v>68</v>
      </c>
      <c r="B72" s="10">
        <v>705495</v>
      </c>
      <c r="C72" s="56" t="s">
        <v>338</v>
      </c>
      <c r="D72" s="10" t="s">
        <v>339</v>
      </c>
      <c r="E72" s="11" t="s">
        <v>340</v>
      </c>
      <c r="F72" s="12">
        <v>6</v>
      </c>
      <c r="G72" s="13">
        <v>1</v>
      </c>
      <c r="H72" s="12">
        <f>F72/G72</f>
        <v>6</v>
      </c>
      <c r="I72" s="14"/>
      <c r="J72" s="14"/>
      <c r="K72" s="14"/>
      <c r="L72" s="14"/>
      <c r="M72" s="14"/>
      <c r="N72" s="14"/>
      <c r="O72" s="58">
        <v>8.6999999999999993</v>
      </c>
      <c r="P72" s="58">
        <f>O72*H72</f>
        <v>52.199999999999996</v>
      </c>
      <c r="Q72" s="58">
        <v>9.6</v>
      </c>
      <c r="R72" s="58">
        <f>H72*Q72</f>
        <v>57.599999999999994</v>
      </c>
      <c r="S72" s="15">
        <v>1.514</v>
      </c>
      <c r="T72" s="70">
        <f>H72*S72</f>
        <v>9.0839999999999996</v>
      </c>
      <c r="U72" s="15">
        <f>T72*0.0283</f>
        <v>0.25707720000000001</v>
      </c>
      <c r="V72" s="16"/>
      <c r="W72" s="50" t="s">
        <v>42</v>
      </c>
    </row>
    <row r="73" spans="1:23" ht="24" customHeight="1">
      <c r="A73" s="9">
        <v>69</v>
      </c>
      <c r="B73" s="10">
        <v>826934</v>
      </c>
      <c r="C73" s="56" t="s">
        <v>364</v>
      </c>
      <c r="D73" s="10" t="s">
        <v>358</v>
      </c>
      <c r="E73" s="11" t="s">
        <v>57</v>
      </c>
      <c r="F73" s="12">
        <v>6</v>
      </c>
      <c r="G73" s="13">
        <v>2</v>
      </c>
      <c r="H73" s="12">
        <f>F73/G73</f>
        <v>3</v>
      </c>
      <c r="I73" s="14"/>
      <c r="J73" s="14"/>
      <c r="K73" s="14"/>
      <c r="L73" s="14"/>
      <c r="M73" s="14"/>
      <c r="N73" s="14"/>
      <c r="O73" s="58">
        <v>12.6</v>
      </c>
      <c r="P73" s="58">
        <f>O73*H73</f>
        <v>37.799999999999997</v>
      </c>
      <c r="Q73" s="58">
        <v>13.6</v>
      </c>
      <c r="R73" s="58">
        <f>H73*Q73</f>
        <v>40.799999999999997</v>
      </c>
      <c r="S73" s="15">
        <v>1.8920000000000001</v>
      </c>
      <c r="T73" s="70">
        <f>H73*S73</f>
        <v>5.6760000000000002</v>
      </c>
      <c r="U73" s="15">
        <f>T73*0.0283</f>
        <v>0.16063079999999999</v>
      </c>
      <c r="V73" s="16"/>
      <c r="W73" s="50" t="s">
        <v>42</v>
      </c>
    </row>
    <row r="74" spans="1:23" ht="24" customHeight="1">
      <c r="A74" s="9">
        <v>70</v>
      </c>
      <c r="B74" s="10">
        <v>826933</v>
      </c>
      <c r="C74" s="56" t="s">
        <v>363</v>
      </c>
      <c r="D74" s="10" t="s">
        <v>358</v>
      </c>
      <c r="E74" s="11" t="s">
        <v>57</v>
      </c>
      <c r="F74" s="12">
        <v>6</v>
      </c>
      <c r="G74" s="13">
        <v>2</v>
      </c>
      <c r="H74" s="12">
        <f>F74/G74</f>
        <v>3</v>
      </c>
      <c r="I74" s="14"/>
      <c r="J74" s="14"/>
      <c r="K74" s="14"/>
      <c r="L74" s="14"/>
      <c r="M74" s="14"/>
      <c r="N74" s="14"/>
      <c r="O74" s="58">
        <v>12.6</v>
      </c>
      <c r="P74" s="58">
        <f>O74*H74</f>
        <v>37.799999999999997</v>
      </c>
      <c r="Q74" s="58">
        <v>13.6</v>
      </c>
      <c r="R74" s="58">
        <f>H74*Q74</f>
        <v>40.799999999999997</v>
      </c>
      <c r="S74" s="15">
        <v>1.8920000000000001</v>
      </c>
      <c r="T74" s="70">
        <f>H74*S74</f>
        <v>5.6760000000000002</v>
      </c>
      <c r="U74" s="15">
        <f>T74*0.0283</f>
        <v>0.16063079999999999</v>
      </c>
      <c r="V74" s="16"/>
      <c r="W74" s="50" t="s">
        <v>42</v>
      </c>
    </row>
    <row r="75" spans="1:23" ht="24" customHeight="1">
      <c r="A75" s="9">
        <v>71</v>
      </c>
      <c r="B75" s="10">
        <v>826928</v>
      </c>
      <c r="C75" s="56" t="s">
        <v>359</v>
      </c>
      <c r="D75" s="10" t="s">
        <v>358</v>
      </c>
      <c r="E75" s="11" t="s">
        <v>53</v>
      </c>
      <c r="F75" s="12">
        <v>12</v>
      </c>
      <c r="G75" s="13">
        <v>2</v>
      </c>
      <c r="H75" s="12">
        <f>F75/G75</f>
        <v>6</v>
      </c>
      <c r="I75" s="14"/>
      <c r="J75" s="14"/>
      <c r="K75" s="14"/>
      <c r="L75" s="14"/>
      <c r="M75" s="14"/>
      <c r="N75" s="14"/>
      <c r="O75" s="58">
        <v>6.7</v>
      </c>
      <c r="P75" s="58">
        <f>O75*H75</f>
        <v>40.200000000000003</v>
      </c>
      <c r="Q75" s="58">
        <v>7.2</v>
      </c>
      <c r="R75" s="58">
        <f>H75*Q75</f>
        <v>43.2</v>
      </c>
      <c r="S75" s="15">
        <v>0.96199999999999997</v>
      </c>
      <c r="T75" s="70">
        <f>H75*S75</f>
        <v>5.7720000000000002</v>
      </c>
      <c r="U75" s="15">
        <f>T75*0.0283</f>
        <v>0.16334760000000001</v>
      </c>
      <c r="V75" s="16"/>
      <c r="W75" s="50" t="s">
        <v>42</v>
      </c>
    </row>
    <row r="76" spans="1:23" ht="24" customHeight="1">
      <c r="A76" s="9">
        <v>72</v>
      </c>
      <c r="B76" s="10">
        <v>826927</v>
      </c>
      <c r="C76" s="56" t="s">
        <v>357</v>
      </c>
      <c r="D76" s="10" t="s">
        <v>358</v>
      </c>
      <c r="E76" s="11" t="s">
        <v>53</v>
      </c>
      <c r="F76" s="12">
        <v>26</v>
      </c>
      <c r="G76" s="13">
        <v>2</v>
      </c>
      <c r="H76" s="12">
        <f>F76/G76</f>
        <v>13</v>
      </c>
      <c r="I76" s="14"/>
      <c r="J76" s="14"/>
      <c r="K76" s="14"/>
      <c r="L76" s="14"/>
      <c r="M76" s="14"/>
      <c r="N76" s="14"/>
      <c r="O76" s="58">
        <v>6.7</v>
      </c>
      <c r="P76" s="58">
        <f>O76*H76</f>
        <v>87.100000000000009</v>
      </c>
      <c r="Q76" s="58">
        <v>7.2</v>
      </c>
      <c r="R76" s="58">
        <f>H76*Q76</f>
        <v>93.600000000000009</v>
      </c>
      <c r="S76" s="15">
        <v>0.96199999999999997</v>
      </c>
      <c r="T76" s="70">
        <f>H76*S76</f>
        <v>12.506</v>
      </c>
      <c r="U76" s="15">
        <f>T76*0.0283</f>
        <v>0.35391980000000001</v>
      </c>
      <c r="V76" s="16"/>
      <c r="W76" s="50" t="s">
        <v>42</v>
      </c>
    </row>
    <row r="77" spans="1:23" ht="24" customHeight="1">
      <c r="A77" s="9">
        <v>73</v>
      </c>
      <c r="B77" s="10">
        <v>826930</v>
      </c>
      <c r="C77" s="56" t="s">
        <v>360</v>
      </c>
      <c r="D77" s="10" t="s">
        <v>358</v>
      </c>
      <c r="E77" s="11" t="s">
        <v>55</v>
      </c>
      <c r="F77" s="12">
        <v>6</v>
      </c>
      <c r="G77" s="13">
        <v>2</v>
      </c>
      <c r="H77" s="12">
        <f>F77/G77</f>
        <v>3</v>
      </c>
      <c r="I77" s="14"/>
      <c r="J77" s="14"/>
      <c r="K77" s="14"/>
      <c r="L77" s="14"/>
      <c r="M77" s="14"/>
      <c r="N77" s="14"/>
      <c r="O77" s="58">
        <v>8.4</v>
      </c>
      <c r="P77" s="58">
        <f>O77*H77</f>
        <v>25.200000000000003</v>
      </c>
      <c r="Q77" s="58">
        <v>9</v>
      </c>
      <c r="R77" s="58">
        <f>H77*Q77</f>
        <v>27</v>
      </c>
      <c r="S77" s="15">
        <v>1.1970000000000001</v>
      </c>
      <c r="T77" s="70">
        <f>H77*S77</f>
        <v>3.5910000000000002</v>
      </c>
      <c r="U77" s="15">
        <f>T77*0.0283</f>
        <v>0.1016253</v>
      </c>
      <c r="V77" s="16"/>
      <c r="W77" s="50" t="s">
        <v>42</v>
      </c>
    </row>
    <row r="78" spans="1:23" ht="24" customHeight="1">
      <c r="A78" s="9">
        <v>74</v>
      </c>
      <c r="B78" s="10">
        <v>826932</v>
      </c>
      <c r="C78" s="56" t="s">
        <v>362</v>
      </c>
      <c r="D78" s="10" t="s">
        <v>358</v>
      </c>
      <c r="E78" s="11" t="s">
        <v>72</v>
      </c>
      <c r="F78" s="12">
        <v>14</v>
      </c>
      <c r="G78" s="13">
        <v>2</v>
      </c>
      <c r="H78" s="12">
        <f>F78/G78</f>
        <v>7</v>
      </c>
      <c r="I78" s="14"/>
      <c r="J78" s="14"/>
      <c r="K78" s="14"/>
      <c r="L78" s="14"/>
      <c r="M78" s="14"/>
      <c r="N78" s="14"/>
      <c r="O78" s="58">
        <v>9.6999999999999993</v>
      </c>
      <c r="P78" s="58">
        <f>O78*H78</f>
        <v>67.899999999999991</v>
      </c>
      <c r="Q78" s="58">
        <v>10.5</v>
      </c>
      <c r="R78" s="58">
        <f>H78*Q78</f>
        <v>73.5</v>
      </c>
      <c r="S78" s="15">
        <v>1.423</v>
      </c>
      <c r="T78" s="70">
        <f>H78*S78</f>
        <v>9.9610000000000003</v>
      </c>
      <c r="U78" s="15">
        <f>T78*0.0283</f>
        <v>0.28189629999999999</v>
      </c>
      <c r="V78" s="16"/>
      <c r="W78" s="50" t="s">
        <v>42</v>
      </c>
    </row>
    <row r="79" spans="1:23" ht="24" customHeight="1">
      <c r="A79" s="9">
        <v>75</v>
      </c>
      <c r="B79" s="10">
        <v>826931</v>
      </c>
      <c r="C79" s="56" t="s">
        <v>361</v>
      </c>
      <c r="D79" s="10" t="s">
        <v>358</v>
      </c>
      <c r="E79" s="11" t="s">
        <v>72</v>
      </c>
      <c r="F79" s="12">
        <v>6</v>
      </c>
      <c r="G79" s="13">
        <v>2</v>
      </c>
      <c r="H79" s="12">
        <f>F79/G79</f>
        <v>3</v>
      </c>
      <c r="I79" s="14"/>
      <c r="J79" s="14"/>
      <c r="K79" s="14"/>
      <c r="L79" s="14"/>
      <c r="M79" s="14"/>
      <c r="N79" s="14"/>
      <c r="O79" s="58">
        <v>9.6999999999999993</v>
      </c>
      <c r="P79" s="58">
        <f>O79*H79</f>
        <v>29.099999999999998</v>
      </c>
      <c r="Q79" s="58">
        <v>10.5</v>
      </c>
      <c r="R79" s="58">
        <f>H79*Q79</f>
        <v>31.5</v>
      </c>
      <c r="S79" s="15">
        <v>1.423</v>
      </c>
      <c r="T79" s="70">
        <f>H79*S79</f>
        <v>4.2690000000000001</v>
      </c>
      <c r="U79" s="15">
        <f>T79*0.0283</f>
        <v>0.1208127</v>
      </c>
      <c r="V79" s="16"/>
      <c r="W79" s="50" t="s">
        <v>42</v>
      </c>
    </row>
    <row r="80" spans="1:23" ht="24" customHeight="1">
      <c r="A80" s="9">
        <v>76</v>
      </c>
      <c r="B80" s="10">
        <v>235598</v>
      </c>
      <c r="C80" s="56" t="s">
        <v>107</v>
      </c>
      <c r="D80" s="10" t="s">
        <v>103</v>
      </c>
      <c r="E80" s="11" t="s">
        <v>108</v>
      </c>
      <c r="F80" s="12">
        <v>8</v>
      </c>
      <c r="G80" s="13">
        <v>1</v>
      </c>
      <c r="H80" s="12">
        <f>F80/G80</f>
        <v>8</v>
      </c>
      <c r="I80" s="14"/>
      <c r="J80" s="14"/>
      <c r="K80" s="14"/>
      <c r="L80" s="14"/>
      <c r="M80" s="14"/>
      <c r="N80" s="14"/>
      <c r="O80" s="58">
        <v>22.2</v>
      </c>
      <c r="P80" s="58">
        <f>O80*H80</f>
        <v>177.6</v>
      </c>
      <c r="Q80" s="58">
        <v>24.15</v>
      </c>
      <c r="R80" s="58">
        <f>H80*Q80</f>
        <v>193.2</v>
      </c>
      <c r="S80" s="15">
        <v>3.7450000000000001</v>
      </c>
      <c r="T80" s="70">
        <f>H80*S80</f>
        <v>29.96</v>
      </c>
      <c r="U80" s="15">
        <f>T80*0.0283</f>
        <v>0.84786799999999996</v>
      </c>
      <c r="V80" s="16"/>
      <c r="W80" s="50" t="s">
        <v>42</v>
      </c>
    </row>
    <row r="81" spans="1:23" ht="24" customHeight="1">
      <c r="A81" s="9">
        <v>77</v>
      </c>
      <c r="B81" s="10">
        <v>204969</v>
      </c>
      <c r="C81" s="56" t="s">
        <v>85</v>
      </c>
      <c r="D81" s="10" t="s">
        <v>86</v>
      </c>
      <c r="E81" s="11" t="s">
        <v>87</v>
      </c>
      <c r="F81" s="12">
        <v>24</v>
      </c>
      <c r="G81" s="13">
        <v>2</v>
      </c>
      <c r="H81" s="12">
        <f>F81/G81</f>
        <v>12</v>
      </c>
      <c r="I81" s="14"/>
      <c r="J81" s="14"/>
      <c r="K81" s="14"/>
      <c r="L81" s="14"/>
      <c r="M81" s="14"/>
      <c r="N81" s="14"/>
      <c r="O81" s="58">
        <v>22.2</v>
      </c>
      <c r="P81" s="58">
        <f>O81*H81</f>
        <v>266.39999999999998</v>
      </c>
      <c r="Q81" s="58">
        <v>24</v>
      </c>
      <c r="R81" s="58">
        <f>H81*Q81</f>
        <v>288</v>
      </c>
      <c r="S81" s="15">
        <v>2.5059999999999998</v>
      </c>
      <c r="T81" s="70">
        <f>H81*S81</f>
        <v>30.071999999999996</v>
      </c>
      <c r="U81" s="15">
        <f>T81*0.0283</f>
        <v>0.85103759999999984</v>
      </c>
      <c r="V81" s="16"/>
      <c r="W81" s="50" t="s">
        <v>42</v>
      </c>
    </row>
    <row r="82" spans="1:23" ht="24" customHeight="1">
      <c r="A82" s="9">
        <v>78</v>
      </c>
      <c r="B82" s="10">
        <v>204968</v>
      </c>
      <c r="C82" s="56" t="s">
        <v>82</v>
      </c>
      <c r="D82" s="10" t="s">
        <v>83</v>
      </c>
      <c r="E82" s="11" t="s">
        <v>84</v>
      </c>
      <c r="F82" s="12">
        <v>36</v>
      </c>
      <c r="G82" s="13">
        <v>2</v>
      </c>
      <c r="H82" s="12">
        <f>F82/G82</f>
        <v>18</v>
      </c>
      <c r="I82" s="14"/>
      <c r="J82" s="14"/>
      <c r="K82" s="14"/>
      <c r="L82" s="14"/>
      <c r="M82" s="14"/>
      <c r="N82" s="14"/>
      <c r="O82" s="58">
        <v>14.7</v>
      </c>
      <c r="P82" s="58">
        <f>O82*H82</f>
        <v>264.59999999999997</v>
      </c>
      <c r="Q82" s="58">
        <v>16.05</v>
      </c>
      <c r="R82" s="58">
        <f>H82*Q82</f>
        <v>288.90000000000003</v>
      </c>
      <c r="S82" s="15">
        <v>1.4470000000000001</v>
      </c>
      <c r="T82" s="70">
        <f>H82*S82</f>
        <v>26.045999999999999</v>
      </c>
      <c r="U82" s="15">
        <f>T82*0.0283</f>
        <v>0.73710179999999992</v>
      </c>
      <c r="V82" s="16"/>
      <c r="W82" s="50" t="s">
        <v>42</v>
      </c>
    </row>
    <row r="83" spans="1:23" ht="24" customHeight="1">
      <c r="A83" s="9">
        <v>79</v>
      </c>
      <c r="B83" s="10">
        <v>196709</v>
      </c>
      <c r="C83" s="56" t="s">
        <v>90</v>
      </c>
      <c r="D83" s="10" t="s">
        <v>86</v>
      </c>
      <c r="E83" s="11" t="s">
        <v>91</v>
      </c>
      <c r="F83" s="12">
        <v>30</v>
      </c>
      <c r="G83" s="13">
        <v>2</v>
      </c>
      <c r="H83" s="12">
        <f>F83/G83</f>
        <v>15</v>
      </c>
      <c r="I83" s="14"/>
      <c r="J83" s="14"/>
      <c r="K83" s="14"/>
      <c r="L83" s="14"/>
      <c r="M83" s="14"/>
      <c r="N83" s="14"/>
      <c r="O83" s="58">
        <v>26.4</v>
      </c>
      <c r="P83" s="58">
        <f>O83*H83</f>
        <v>396</v>
      </c>
      <c r="Q83" s="58">
        <v>28.6</v>
      </c>
      <c r="R83" s="58">
        <f>H83*Q83</f>
        <v>429</v>
      </c>
      <c r="S83" s="15">
        <v>3.4850000000000003</v>
      </c>
      <c r="T83" s="70">
        <f>H83*S83</f>
        <v>52.275000000000006</v>
      </c>
      <c r="U83" s="15">
        <f>T83*0.0283</f>
        <v>1.4793825</v>
      </c>
      <c r="V83" s="16"/>
      <c r="W83" s="50" t="s">
        <v>42</v>
      </c>
    </row>
    <row r="84" spans="1:23" ht="24" customHeight="1">
      <c r="A84" s="9">
        <v>80</v>
      </c>
      <c r="B84" s="10">
        <v>196708</v>
      </c>
      <c r="C84" s="56" t="s">
        <v>88</v>
      </c>
      <c r="D84" s="10" t="s">
        <v>83</v>
      </c>
      <c r="E84" s="11" t="s">
        <v>89</v>
      </c>
      <c r="F84" s="12">
        <v>28</v>
      </c>
      <c r="G84" s="13">
        <v>2</v>
      </c>
      <c r="H84" s="12">
        <f>F84/G84</f>
        <v>14</v>
      </c>
      <c r="I84" s="14"/>
      <c r="J84" s="14"/>
      <c r="K84" s="14"/>
      <c r="L84" s="14"/>
      <c r="M84" s="14"/>
      <c r="N84" s="14"/>
      <c r="O84" s="58">
        <v>17.3</v>
      </c>
      <c r="P84" s="58">
        <f>O84*H84</f>
        <v>242.20000000000002</v>
      </c>
      <c r="Q84" s="58">
        <v>19.02</v>
      </c>
      <c r="R84" s="58">
        <f>H84*Q84</f>
        <v>266.27999999999997</v>
      </c>
      <c r="S84" s="15">
        <v>2.0989999999999998</v>
      </c>
      <c r="T84" s="70">
        <f>H84*S84</f>
        <v>29.385999999999996</v>
      </c>
      <c r="U84" s="15">
        <f>T84*0.0283</f>
        <v>0.8316237999999998</v>
      </c>
      <c r="V84" s="16"/>
      <c r="W84" s="50" t="s">
        <v>42</v>
      </c>
    </row>
    <row r="85" spans="1:23" ht="24" customHeight="1">
      <c r="A85" s="9">
        <v>81</v>
      </c>
      <c r="B85" s="10">
        <v>235596</v>
      </c>
      <c r="C85" s="56" t="s">
        <v>102</v>
      </c>
      <c r="D85" s="10" t="s">
        <v>103</v>
      </c>
      <c r="E85" s="11" t="s">
        <v>104</v>
      </c>
      <c r="F85" s="12">
        <v>6</v>
      </c>
      <c r="G85" s="13">
        <v>1</v>
      </c>
      <c r="H85" s="12">
        <f>F85/G85</f>
        <v>6</v>
      </c>
      <c r="I85" s="14"/>
      <c r="J85" s="14"/>
      <c r="K85" s="14"/>
      <c r="L85" s="14"/>
      <c r="M85" s="14"/>
      <c r="N85" s="14"/>
      <c r="O85" s="58">
        <v>15.95</v>
      </c>
      <c r="P85" s="58">
        <f>O85*H85</f>
        <v>95.699999999999989</v>
      </c>
      <c r="Q85" s="58">
        <v>18.100000000000001</v>
      </c>
      <c r="R85" s="58">
        <f>H85*Q85</f>
        <v>108.60000000000001</v>
      </c>
      <c r="S85" s="15">
        <v>2.8479999999999999</v>
      </c>
      <c r="T85" s="70">
        <f>H85*S85</f>
        <v>17.088000000000001</v>
      </c>
      <c r="U85" s="15">
        <f>T85*0.0283</f>
        <v>0.48359040000000003</v>
      </c>
      <c r="V85" s="16"/>
      <c r="W85" s="50" t="s">
        <v>42</v>
      </c>
    </row>
    <row r="86" spans="1:23" ht="24" customHeight="1">
      <c r="A86" s="9">
        <v>82</v>
      </c>
      <c r="B86" s="10">
        <v>196706</v>
      </c>
      <c r="C86" s="56" t="s">
        <v>76</v>
      </c>
      <c r="D86" s="10" t="s">
        <v>77</v>
      </c>
      <c r="E86" s="11" t="s">
        <v>78</v>
      </c>
      <c r="F86" s="12">
        <v>118</v>
      </c>
      <c r="G86" s="13">
        <v>2</v>
      </c>
      <c r="H86" s="12">
        <f>F86/G86</f>
        <v>59</v>
      </c>
      <c r="I86" s="14"/>
      <c r="J86" s="14"/>
      <c r="K86" s="14"/>
      <c r="L86" s="14"/>
      <c r="M86" s="14"/>
      <c r="N86" s="14"/>
      <c r="O86" s="58">
        <v>22</v>
      </c>
      <c r="P86" s="58">
        <f>O86*H86</f>
        <v>1298</v>
      </c>
      <c r="Q86" s="58">
        <v>24.5</v>
      </c>
      <c r="R86" s="58">
        <f>H86*Q86</f>
        <v>1445.5</v>
      </c>
      <c r="S86" s="15">
        <v>3.367</v>
      </c>
      <c r="T86" s="70">
        <f>H86*S86</f>
        <v>198.65299999999999</v>
      </c>
      <c r="U86" s="15">
        <f>T86*0.0283</f>
        <v>5.6218798999999997</v>
      </c>
      <c r="V86" s="16"/>
      <c r="W86" s="50" t="s">
        <v>42</v>
      </c>
    </row>
    <row r="87" spans="1:23" ht="24" customHeight="1">
      <c r="A87" s="9">
        <v>83</v>
      </c>
      <c r="B87" s="10">
        <v>196711</v>
      </c>
      <c r="C87" s="56" t="s">
        <v>95</v>
      </c>
      <c r="D87" s="10" t="s">
        <v>96</v>
      </c>
      <c r="E87" s="11" t="s">
        <v>91</v>
      </c>
      <c r="F87" s="12">
        <v>48</v>
      </c>
      <c r="G87" s="13">
        <v>2</v>
      </c>
      <c r="H87" s="12">
        <f>F87/G87</f>
        <v>24</v>
      </c>
      <c r="I87" s="14"/>
      <c r="J87" s="14"/>
      <c r="K87" s="14"/>
      <c r="L87" s="14"/>
      <c r="M87" s="14"/>
      <c r="N87" s="14"/>
      <c r="O87" s="58">
        <v>20</v>
      </c>
      <c r="P87" s="58">
        <f>O87*H87</f>
        <v>480</v>
      </c>
      <c r="Q87" s="58">
        <v>22.5</v>
      </c>
      <c r="R87" s="58">
        <f>H87*Q87</f>
        <v>540</v>
      </c>
      <c r="S87" s="15">
        <v>2.9470000000000001</v>
      </c>
      <c r="T87" s="70">
        <f>H87*S87</f>
        <v>70.728000000000009</v>
      </c>
      <c r="U87" s="15">
        <f>T87*0.0283</f>
        <v>2.0016024000000003</v>
      </c>
      <c r="V87" s="16"/>
      <c r="W87" s="50" t="s">
        <v>42</v>
      </c>
    </row>
    <row r="88" spans="1:23" ht="24" customHeight="1">
      <c r="A88" s="9">
        <v>84</v>
      </c>
      <c r="B88" s="10">
        <v>235600</v>
      </c>
      <c r="C88" s="56" t="s">
        <v>109</v>
      </c>
      <c r="D88" s="10" t="s">
        <v>110</v>
      </c>
      <c r="E88" s="11" t="s">
        <v>111</v>
      </c>
      <c r="F88" s="12">
        <v>142</v>
      </c>
      <c r="G88" s="13">
        <v>1</v>
      </c>
      <c r="H88" s="12">
        <f>F88/G88</f>
        <v>142</v>
      </c>
      <c r="I88" s="14"/>
      <c r="J88" s="14"/>
      <c r="K88" s="14"/>
      <c r="L88" s="14"/>
      <c r="M88" s="14"/>
      <c r="N88" s="14"/>
      <c r="O88" s="58">
        <v>11.5</v>
      </c>
      <c r="P88" s="58">
        <f>O88*H88</f>
        <v>1633</v>
      </c>
      <c r="Q88" s="58">
        <v>13.45</v>
      </c>
      <c r="R88" s="58">
        <f>H88*Q88</f>
        <v>1909.8999999999999</v>
      </c>
      <c r="S88" s="15">
        <v>2.4329999999999998</v>
      </c>
      <c r="T88" s="70">
        <f>H88*S88</f>
        <v>345.48599999999999</v>
      </c>
      <c r="U88" s="15">
        <f>T88*0.0283</f>
        <v>9.7772537999999987</v>
      </c>
      <c r="V88" s="16"/>
      <c r="W88" s="50" t="s">
        <v>42</v>
      </c>
    </row>
    <row r="89" spans="1:23" ht="24" customHeight="1">
      <c r="A89" s="9">
        <v>85</v>
      </c>
      <c r="B89" s="10">
        <v>196707</v>
      </c>
      <c r="C89" s="56" t="s">
        <v>79</v>
      </c>
      <c r="D89" s="10" t="s">
        <v>80</v>
      </c>
      <c r="E89" s="11" t="s">
        <v>81</v>
      </c>
      <c r="F89" s="12">
        <v>152</v>
      </c>
      <c r="G89" s="13">
        <v>2</v>
      </c>
      <c r="H89" s="12">
        <f>F89/G89</f>
        <v>76</v>
      </c>
      <c r="I89" s="14"/>
      <c r="J89" s="14"/>
      <c r="K89" s="14"/>
      <c r="L89" s="14"/>
      <c r="M89" s="14"/>
      <c r="N89" s="14"/>
      <c r="O89" s="58">
        <v>13.5</v>
      </c>
      <c r="P89" s="58">
        <f>O89*H89</f>
        <v>1026</v>
      </c>
      <c r="Q89" s="58">
        <v>15.1</v>
      </c>
      <c r="R89" s="58">
        <f>H89*Q89</f>
        <v>1147.5999999999999</v>
      </c>
      <c r="S89" s="15">
        <v>1.9929999999999999</v>
      </c>
      <c r="T89" s="70">
        <f>H89*S89</f>
        <v>151.46799999999999</v>
      </c>
      <c r="U89" s="15">
        <f>T89*0.0283</f>
        <v>4.2865443999999995</v>
      </c>
      <c r="V89" s="16"/>
      <c r="W89" s="50" t="s">
        <v>42</v>
      </c>
    </row>
    <row r="90" spans="1:23" ht="24" customHeight="1">
      <c r="A90" s="9">
        <v>86</v>
      </c>
      <c r="B90" s="10">
        <v>235593</v>
      </c>
      <c r="C90" s="56" t="s">
        <v>97</v>
      </c>
      <c r="D90" s="10" t="s">
        <v>98</v>
      </c>
      <c r="E90" s="11" t="s">
        <v>99</v>
      </c>
      <c r="F90" s="12">
        <v>10</v>
      </c>
      <c r="G90" s="13">
        <v>1</v>
      </c>
      <c r="H90" s="12">
        <f>F90/G90</f>
        <v>10</v>
      </c>
      <c r="I90" s="14"/>
      <c r="J90" s="14"/>
      <c r="K90" s="14"/>
      <c r="L90" s="14"/>
      <c r="M90" s="14"/>
      <c r="N90" s="14"/>
      <c r="O90" s="58">
        <v>15.55</v>
      </c>
      <c r="P90" s="58">
        <f>O90*H90</f>
        <v>155.5</v>
      </c>
      <c r="Q90" s="58">
        <v>17.600000000000001</v>
      </c>
      <c r="R90" s="58">
        <f>H90*Q90</f>
        <v>176</v>
      </c>
      <c r="S90" s="15">
        <v>2.6920000000000002</v>
      </c>
      <c r="T90" s="70">
        <f>H90*S90</f>
        <v>26.92</v>
      </c>
      <c r="U90" s="15">
        <f>T90*0.0283</f>
        <v>0.76183600000000007</v>
      </c>
      <c r="V90" s="16"/>
      <c r="W90" s="50" t="s">
        <v>42</v>
      </c>
    </row>
    <row r="91" spans="1:23" ht="24" customHeight="1">
      <c r="A91" s="9">
        <v>87</v>
      </c>
      <c r="B91" s="10">
        <v>196710</v>
      </c>
      <c r="C91" s="56" t="s">
        <v>92</v>
      </c>
      <c r="D91" s="10" t="s">
        <v>93</v>
      </c>
      <c r="E91" s="11" t="s">
        <v>94</v>
      </c>
      <c r="F91" s="12">
        <v>14</v>
      </c>
      <c r="G91" s="13">
        <v>2</v>
      </c>
      <c r="H91" s="12">
        <f>F91/G91</f>
        <v>7</v>
      </c>
      <c r="I91" s="14"/>
      <c r="J91" s="14"/>
      <c r="K91" s="14"/>
      <c r="L91" s="14"/>
      <c r="M91" s="14"/>
      <c r="N91" s="14"/>
      <c r="O91" s="58">
        <v>11.1</v>
      </c>
      <c r="P91" s="58">
        <f>O91*H91</f>
        <v>77.7</v>
      </c>
      <c r="Q91" s="58">
        <v>13.05</v>
      </c>
      <c r="R91" s="58">
        <f>H91*Q91</f>
        <v>91.350000000000009</v>
      </c>
      <c r="S91" s="15">
        <v>1.7559999999999998</v>
      </c>
      <c r="T91" s="70">
        <f>H91*S91</f>
        <v>12.291999999999998</v>
      </c>
      <c r="U91" s="15">
        <f>T91*0.0283</f>
        <v>0.34786359999999994</v>
      </c>
      <c r="V91" s="16"/>
      <c r="W91" s="50" t="s">
        <v>42</v>
      </c>
    </row>
    <row r="92" spans="1:23" ht="24" customHeight="1">
      <c r="A92" s="9">
        <v>88</v>
      </c>
      <c r="B92" s="10">
        <v>235594</v>
      </c>
      <c r="C92" s="56" t="s">
        <v>100</v>
      </c>
      <c r="D92" s="10" t="s">
        <v>98</v>
      </c>
      <c r="E92" s="11" t="s">
        <v>101</v>
      </c>
      <c r="F92" s="12">
        <v>20</v>
      </c>
      <c r="G92" s="13">
        <v>1</v>
      </c>
      <c r="H92" s="12">
        <f>F92/G92</f>
        <v>20</v>
      </c>
      <c r="I92" s="14"/>
      <c r="J92" s="14"/>
      <c r="K92" s="14"/>
      <c r="L92" s="14"/>
      <c r="M92" s="14"/>
      <c r="N92" s="14"/>
      <c r="O92" s="58">
        <v>16.8</v>
      </c>
      <c r="P92" s="58">
        <f>O92*H92</f>
        <v>336</v>
      </c>
      <c r="Q92" s="58">
        <v>18.75</v>
      </c>
      <c r="R92" s="58">
        <f>H92*Q92</f>
        <v>375</v>
      </c>
      <c r="S92" s="15">
        <v>2.6920000000000002</v>
      </c>
      <c r="T92" s="70">
        <f>H92*S92</f>
        <v>53.84</v>
      </c>
      <c r="U92" s="15">
        <f>T92*0.0283</f>
        <v>1.5236720000000001</v>
      </c>
      <c r="V92" s="16"/>
      <c r="W92" s="50" t="s">
        <v>42</v>
      </c>
    </row>
    <row r="93" spans="1:23" ht="24" customHeight="1">
      <c r="A93" s="9">
        <v>89</v>
      </c>
      <c r="B93" s="10">
        <v>235597</v>
      </c>
      <c r="C93" s="56" t="s">
        <v>105</v>
      </c>
      <c r="D93" s="10" t="s">
        <v>103</v>
      </c>
      <c r="E93" s="11" t="s">
        <v>106</v>
      </c>
      <c r="F93" s="12">
        <v>7</v>
      </c>
      <c r="G93" s="13">
        <v>1</v>
      </c>
      <c r="H93" s="12">
        <f>F93/G93</f>
        <v>7</v>
      </c>
      <c r="I93" s="14"/>
      <c r="J93" s="14"/>
      <c r="K93" s="14"/>
      <c r="L93" s="14"/>
      <c r="M93" s="14"/>
      <c r="N93" s="14"/>
      <c r="O93" s="58">
        <v>19.5</v>
      </c>
      <c r="P93" s="58">
        <f>O93*H93</f>
        <v>136.5</v>
      </c>
      <c r="Q93" s="58">
        <v>21.2</v>
      </c>
      <c r="R93" s="58">
        <f>H93*Q93</f>
        <v>148.4</v>
      </c>
      <c r="S93" s="15">
        <v>2.8479999999999999</v>
      </c>
      <c r="T93" s="70">
        <f>H93*S93</f>
        <v>19.936</v>
      </c>
      <c r="U93" s="15">
        <f>T93*0.0283</f>
        <v>0.56418879999999993</v>
      </c>
      <c r="V93" s="16"/>
      <c r="W93" s="50" t="s">
        <v>42</v>
      </c>
    </row>
    <row r="94" spans="1:23" ht="24" customHeight="1">
      <c r="A94" s="9">
        <v>90</v>
      </c>
      <c r="B94" s="10">
        <v>235203</v>
      </c>
      <c r="C94" s="56" t="s">
        <v>304</v>
      </c>
      <c r="D94" s="10" t="s">
        <v>305</v>
      </c>
      <c r="E94" s="11" t="s">
        <v>306</v>
      </c>
      <c r="F94" s="12">
        <v>24</v>
      </c>
      <c r="G94" s="13">
        <v>1</v>
      </c>
      <c r="H94" s="12">
        <f>F94/G94</f>
        <v>24</v>
      </c>
      <c r="I94" s="14"/>
      <c r="J94" s="14"/>
      <c r="K94" s="14"/>
      <c r="L94" s="14"/>
      <c r="M94" s="14"/>
      <c r="N94" s="14"/>
      <c r="O94" s="58">
        <v>23.9</v>
      </c>
      <c r="P94" s="58">
        <f>O94*H94</f>
        <v>573.59999999999991</v>
      </c>
      <c r="Q94" s="58">
        <v>25.95</v>
      </c>
      <c r="R94" s="58">
        <f>H94*Q94</f>
        <v>622.79999999999995</v>
      </c>
      <c r="S94" s="15">
        <v>3.508</v>
      </c>
      <c r="T94" s="70">
        <f>H94*S94</f>
        <v>84.192000000000007</v>
      </c>
      <c r="U94" s="15">
        <f>T94*0.0283</f>
        <v>2.3826336000000001</v>
      </c>
      <c r="V94" s="16"/>
      <c r="W94" s="50" t="s">
        <v>42</v>
      </c>
    </row>
    <row r="95" spans="1:23" ht="24" customHeight="1">
      <c r="A95" s="9">
        <v>91</v>
      </c>
      <c r="B95" s="10">
        <v>235204</v>
      </c>
      <c r="C95" s="56" t="s">
        <v>307</v>
      </c>
      <c r="D95" s="10" t="s">
        <v>305</v>
      </c>
      <c r="E95" s="11" t="s">
        <v>308</v>
      </c>
      <c r="F95" s="12">
        <v>41</v>
      </c>
      <c r="G95" s="13">
        <v>1</v>
      </c>
      <c r="H95" s="12">
        <f>F95/G95</f>
        <v>41</v>
      </c>
      <c r="I95" s="14"/>
      <c r="J95" s="14"/>
      <c r="K95" s="14"/>
      <c r="L95" s="14"/>
      <c r="M95" s="14"/>
      <c r="N95" s="14"/>
      <c r="O95" s="58">
        <v>26.15</v>
      </c>
      <c r="P95" s="58">
        <f>O95*H95</f>
        <v>1072.1499999999999</v>
      </c>
      <c r="Q95" s="58">
        <v>27.95</v>
      </c>
      <c r="R95" s="58">
        <f>H95*Q95</f>
        <v>1145.95</v>
      </c>
      <c r="S95" s="15">
        <v>3.508</v>
      </c>
      <c r="T95" s="70">
        <f>H95*S95</f>
        <v>143.828</v>
      </c>
      <c r="U95" s="15">
        <f>T95*0.0283</f>
        <v>4.0703323999999999</v>
      </c>
      <c r="V95" s="16"/>
      <c r="W95" s="50" t="s">
        <v>42</v>
      </c>
    </row>
    <row r="96" spans="1:23" ht="24" customHeight="1">
      <c r="A96" s="9">
        <v>92</v>
      </c>
      <c r="B96" s="10">
        <v>819890</v>
      </c>
      <c r="C96" s="56" t="s">
        <v>370</v>
      </c>
      <c r="D96" s="10" t="s">
        <v>366</v>
      </c>
      <c r="E96" s="11" t="s">
        <v>371</v>
      </c>
      <c r="F96" s="12">
        <v>40</v>
      </c>
      <c r="G96" s="13">
        <v>4</v>
      </c>
      <c r="H96" s="12">
        <f>F96/G96</f>
        <v>10</v>
      </c>
      <c r="I96" s="14"/>
      <c r="J96" s="14"/>
      <c r="K96" s="14"/>
      <c r="L96" s="14"/>
      <c r="M96" s="14"/>
      <c r="N96" s="14"/>
      <c r="O96" s="58">
        <v>6.8</v>
      </c>
      <c r="P96" s="58">
        <f>O96*H96</f>
        <v>68</v>
      </c>
      <c r="Q96" s="58">
        <v>7.4799999999999995</v>
      </c>
      <c r="R96" s="58">
        <f>H96*Q96</f>
        <v>74.8</v>
      </c>
      <c r="S96" s="15">
        <v>0.57899999999999996</v>
      </c>
      <c r="T96" s="70">
        <f>H96*S96</f>
        <v>5.7899999999999991</v>
      </c>
      <c r="U96" s="15">
        <f>T96*0.0283</f>
        <v>0.16385699999999997</v>
      </c>
      <c r="V96" s="16"/>
      <c r="W96" s="50" t="s">
        <v>42</v>
      </c>
    </row>
    <row r="97" spans="1:23" ht="24" customHeight="1">
      <c r="A97" s="9">
        <v>93</v>
      </c>
      <c r="B97" s="10">
        <v>325171</v>
      </c>
      <c r="C97" s="56" t="s">
        <v>126</v>
      </c>
      <c r="D97" s="10" t="s">
        <v>113</v>
      </c>
      <c r="E97" s="11" t="s">
        <v>127</v>
      </c>
      <c r="F97" s="12">
        <v>228</v>
      </c>
      <c r="G97" s="13">
        <v>4</v>
      </c>
      <c r="H97" s="12">
        <f>F97/G97</f>
        <v>57</v>
      </c>
      <c r="I97" s="14"/>
      <c r="J97" s="14"/>
      <c r="K97" s="14"/>
      <c r="L97" s="14"/>
      <c r="M97" s="14"/>
      <c r="N97" s="14"/>
      <c r="O97" s="58">
        <v>8.4499999999999993</v>
      </c>
      <c r="P97" s="58">
        <f>O97*H97</f>
        <v>481.65</v>
      </c>
      <c r="Q97" s="58">
        <v>9.4</v>
      </c>
      <c r="R97" s="58">
        <f>H97*Q97</f>
        <v>535.80000000000007</v>
      </c>
      <c r="S97" s="15">
        <v>0.83599999999999997</v>
      </c>
      <c r="T97" s="70">
        <f>H97*S97</f>
        <v>47.652000000000001</v>
      </c>
      <c r="U97" s="15">
        <f>T97*0.0283</f>
        <v>1.3485516</v>
      </c>
      <c r="V97" s="16"/>
      <c r="W97" s="50" t="s">
        <v>42</v>
      </c>
    </row>
    <row r="98" spans="1:23" ht="24" customHeight="1">
      <c r="A98" s="9">
        <v>94</v>
      </c>
      <c r="B98" s="10">
        <v>333523</v>
      </c>
      <c r="C98" s="56" t="s">
        <v>132</v>
      </c>
      <c r="D98" s="10" t="s">
        <v>120</v>
      </c>
      <c r="E98" s="11" t="s">
        <v>125</v>
      </c>
      <c r="F98" s="12">
        <v>24</v>
      </c>
      <c r="G98" s="13">
        <v>4</v>
      </c>
      <c r="H98" s="12">
        <f>F98/G98</f>
        <v>6</v>
      </c>
      <c r="I98" s="14"/>
      <c r="J98" s="14"/>
      <c r="K98" s="14"/>
      <c r="L98" s="14"/>
      <c r="M98" s="14"/>
      <c r="N98" s="14"/>
      <c r="O98" s="58">
        <v>2.85</v>
      </c>
      <c r="P98" s="58">
        <f>O98*H98</f>
        <v>17.100000000000001</v>
      </c>
      <c r="Q98" s="58">
        <v>3.2</v>
      </c>
      <c r="R98" s="58">
        <f>H98*Q98</f>
        <v>19.200000000000003</v>
      </c>
      <c r="S98" s="15">
        <v>0.28499999999999998</v>
      </c>
      <c r="T98" s="70">
        <f>H98*S98</f>
        <v>1.71</v>
      </c>
      <c r="U98" s="15">
        <f>T98*0.0283</f>
        <v>4.8392999999999999E-2</v>
      </c>
      <c r="V98" s="16"/>
      <c r="W98" s="50" t="s">
        <v>42</v>
      </c>
    </row>
    <row r="99" spans="1:23" ht="24" customHeight="1">
      <c r="A99" s="9">
        <v>95</v>
      </c>
      <c r="B99" s="10">
        <v>325173</v>
      </c>
      <c r="C99" s="56" t="s">
        <v>124</v>
      </c>
      <c r="D99" s="10" t="s">
        <v>120</v>
      </c>
      <c r="E99" s="11" t="s">
        <v>125</v>
      </c>
      <c r="F99" s="12">
        <v>52</v>
      </c>
      <c r="G99" s="13">
        <v>4</v>
      </c>
      <c r="H99" s="12">
        <f>F99/G99</f>
        <v>13</v>
      </c>
      <c r="I99" s="14"/>
      <c r="J99" s="14"/>
      <c r="K99" s="14"/>
      <c r="L99" s="14"/>
      <c r="M99" s="14"/>
      <c r="N99" s="14"/>
      <c r="O99" s="58">
        <v>2.85</v>
      </c>
      <c r="P99" s="58">
        <f>O99*H99</f>
        <v>37.050000000000004</v>
      </c>
      <c r="Q99" s="58">
        <v>3.2</v>
      </c>
      <c r="R99" s="58">
        <f>H99*Q99</f>
        <v>41.6</v>
      </c>
      <c r="S99" s="15">
        <v>0.28499999999999998</v>
      </c>
      <c r="T99" s="70">
        <f>H99*S99</f>
        <v>3.7049999999999996</v>
      </c>
      <c r="U99" s="15">
        <f>T99*0.0283</f>
        <v>0.10485149999999999</v>
      </c>
      <c r="V99" s="16"/>
      <c r="W99" s="50" t="s">
        <v>42</v>
      </c>
    </row>
    <row r="100" spans="1:23" ht="24" customHeight="1">
      <c r="A100" s="9">
        <v>96</v>
      </c>
      <c r="B100" s="10">
        <v>333524</v>
      </c>
      <c r="C100" s="56" t="s">
        <v>133</v>
      </c>
      <c r="D100" s="10" t="s">
        <v>120</v>
      </c>
      <c r="E100" s="11" t="s">
        <v>123</v>
      </c>
      <c r="F100" s="12">
        <v>72</v>
      </c>
      <c r="G100" s="13">
        <v>4</v>
      </c>
      <c r="H100" s="12">
        <f>F100/G100</f>
        <v>18</v>
      </c>
      <c r="I100" s="14"/>
      <c r="J100" s="14"/>
      <c r="K100" s="14"/>
      <c r="L100" s="14"/>
      <c r="M100" s="14"/>
      <c r="N100" s="14"/>
      <c r="O100" s="58">
        <v>2.95</v>
      </c>
      <c r="P100" s="58">
        <f>O100*H100</f>
        <v>53.1</v>
      </c>
      <c r="Q100" s="58">
        <v>3.35</v>
      </c>
      <c r="R100" s="58">
        <f>H100*Q100</f>
        <v>60.300000000000004</v>
      </c>
      <c r="S100" s="15">
        <v>0.311</v>
      </c>
      <c r="T100" s="70">
        <f>H100*S100</f>
        <v>5.5979999999999999</v>
      </c>
      <c r="U100" s="15">
        <f>T100*0.0283</f>
        <v>0.15842339999999999</v>
      </c>
      <c r="V100" s="16"/>
      <c r="W100" s="50" t="s">
        <v>42</v>
      </c>
    </row>
    <row r="101" spans="1:23" ht="24" customHeight="1">
      <c r="A101" s="9">
        <v>97</v>
      </c>
      <c r="B101" s="10">
        <v>272611</v>
      </c>
      <c r="C101" s="56" t="s">
        <v>129</v>
      </c>
      <c r="D101" s="10" t="s">
        <v>120</v>
      </c>
      <c r="E101" s="11" t="s">
        <v>123</v>
      </c>
      <c r="F101" s="12">
        <v>104</v>
      </c>
      <c r="G101" s="13">
        <v>4</v>
      </c>
      <c r="H101" s="12">
        <f>F101/G101</f>
        <v>26</v>
      </c>
      <c r="I101" s="14"/>
      <c r="J101" s="14"/>
      <c r="K101" s="14"/>
      <c r="L101" s="14"/>
      <c r="M101" s="14"/>
      <c r="N101" s="14"/>
      <c r="O101" s="58">
        <v>2.95</v>
      </c>
      <c r="P101" s="58">
        <f>O101*H101</f>
        <v>76.7</v>
      </c>
      <c r="Q101" s="58">
        <v>3.3</v>
      </c>
      <c r="R101" s="58">
        <f>H101*Q101</f>
        <v>85.8</v>
      </c>
      <c r="S101" s="15">
        <v>0.311</v>
      </c>
      <c r="T101" s="70">
        <f>H101*S101</f>
        <v>8.0860000000000003</v>
      </c>
      <c r="U101" s="15">
        <f>T101*0.0283</f>
        <v>0.2288338</v>
      </c>
      <c r="V101" s="16"/>
      <c r="W101" s="50" t="s">
        <v>42</v>
      </c>
    </row>
    <row r="102" spans="1:23" ht="24" customHeight="1">
      <c r="A102" s="9">
        <v>98</v>
      </c>
      <c r="B102" s="10">
        <v>272612</v>
      </c>
      <c r="C102" s="56" t="s">
        <v>131</v>
      </c>
      <c r="D102" s="10" t="s">
        <v>120</v>
      </c>
      <c r="E102" s="11" t="s">
        <v>123</v>
      </c>
      <c r="F102" s="12">
        <v>68</v>
      </c>
      <c r="G102" s="13">
        <v>4</v>
      </c>
      <c r="H102" s="12">
        <f>F102/G102</f>
        <v>17</v>
      </c>
      <c r="I102" s="14"/>
      <c r="J102" s="14"/>
      <c r="K102" s="14"/>
      <c r="L102" s="14"/>
      <c r="M102" s="14"/>
      <c r="N102" s="14"/>
      <c r="O102" s="58">
        <v>2.95</v>
      </c>
      <c r="P102" s="58">
        <f>O102*H102</f>
        <v>50.150000000000006</v>
      </c>
      <c r="Q102" s="58">
        <v>3.35</v>
      </c>
      <c r="R102" s="58">
        <f>H102*Q102</f>
        <v>56.95</v>
      </c>
      <c r="S102" s="15">
        <v>0.311</v>
      </c>
      <c r="T102" s="70">
        <f>H102*S102</f>
        <v>5.2869999999999999</v>
      </c>
      <c r="U102" s="15">
        <f>T102*0.0283</f>
        <v>0.14962209999999998</v>
      </c>
      <c r="V102" s="16"/>
      <c r="W102" s="50" t="s">
        <v>42</v>
      </c>
    </row>
    <row r="103" spans="1:23" ht="24" customHeight="1">
      <c r="A103" s="9">
        <v>99</v>
      </c>
      <c r="B103" s="10">
        <v>333526</v>
      </c>
      <c r="C103" s="56" t="s">
        <v>135</v>
      </c>
      <c r="D103" s="10" t="s">
        <v>120</v>
      </c>
      <c r="E103" s="11" t="s">
        <v>123</v>
      </c>
      <c r="F103" s="12">
        <v>68</v>
      </c>
      <c r="G103" s="13">
        <v>4</v>
      </c>
      <c r="H103" s="12">
        <f>F103/G103</f>
        <v>17</v>
      </c>
      <c r="I103" s="14"/>
      <c r="J103" s="14"/>
      <c r="K103" s="14"/>
      <c r="L103" s="14"/>
      <c r="M103" s="14"/>
      <c r="N103" s="14"/>
      <c r="O103" s="58">
        <v>2.95</v>
      </c>
      <c r="P103" s="58">
        <f>O103*H103</f>
        <v>50.150000000000006</v>
      </c>
      <c r="Q103" s="58">
        <v>3.35</v>
      </c>
      <c r="R103" s="58">
        <f>H103*Q103</f>
        <v>56.95</v>
      </c>
      <c r="S103" s="15">
        <v>0.311</v>
      </c>
      <c r="T103" s="70">
        <f>H103*S103</f>
        <v>5.2869999999999999</v>
      </c>
      <c r="U103" s="15">
        <f>T103*0.0283</f>
        <v>0.14962209999999998</v>
      </c>
      <c r="V103" s="16"/>
      <c r="W103" s="50" t="s">
        <v>42</v>
      </c>
    </row>
    <row r="104" spans="1:23" ht="24" customHeight="1">
      <c r="A104" s="9">
        <v>100</v>
      </c>
      <c r="B104" s="10">
        <v>269220</v>
      </c>
      <c r="C104" s="56" t="s">
        <v>122</v>
      </c>
      <c r="D104" s="10" t="s">
        <v>120</v>
      </c>
      <c r="E104" s="11" t="s">
        <v>123</v>
      </c>
      <c r="F104" s="12">
        <v>1172</v>
      </c>
      <c r="G104" s="13">
        <v>4</v>
      </c>
      <c r="H104" s="12">
        <f>F104/G104</f>
        <v>293</v>
      </c>
      <c r="I104" s="14"/>
      <c r="J104" s="14"/>
      <c r="K104" s="14"/>
      <c r="L104" s="14"/>
      <c r="M104" s="14"/>
      <c r="N104" s="14"/>
      <c r="O104" s="58">
        <v>2.95</v>
      </c>
      <c r="P104" s="58">
        <f>O104*H104</f>
        <v>864.35</v>
      </c>
      <c r="Q104" s="58">
        <v>3.35</v>
      </c>
      <c r="R104" s="58">
        <f>H104*Q104</f>
        <v>981.55000000000007</v>
      </c>
      <c r="S104" s="15">
        <v>0.311</v>
      </c>
      <c r="T104" s="70">
        <f>H104*S104</f>
        <v>91.123000000000005</v>
      </c>
      <c r="U104" s="15">
        <f>T104*0.0283</f>
        <v>2.5787808999999999</v>
      </c>
      <c r="V104" s="16"/>
      <c r="W104" s="50" t="s">
        <v>42</v>
      </c>
    </row>
    <row r="105" spans="1:23" ht="24" customHeight="1">
      <c r="A105" s="9">
        <v>101</v>
      </c>
      <c r="B105" s="10">
        <v>819873</v>
      </c>
      <c r="C105" s="56" t="s">
        <v>365</v>
      </c>
      <c r="D105" s="10" t="s">
        <v>366</v>
      </c>
      <c r="E105" s="11" t="s">
        <v>367</v>
      </c>
      <c r="F105" s="12">
        <v>124</v>
      </c>
      <c r="G105" s="13">
        <v>4</v>
      </c>
      <c r="H105" s="12">
        <f>F105/G105</f>
        <v>31</v>
      </c>
      <c r="I105" s="14"/>
      <c r="J105" s="14"/>
      <c r="K105" s="14"/>
      <c r="L105" s="14"/>
      <c r="M105" s="14"/>
      <c r="N105" s="14"/>
      <c r="O105" s="58">
        <v>3.8</v>
      </c>
      <c r="P105" s="58">
        <f>O105*H105</f>
        <v>117.8</v>
      </c>
      <c r="Q105" s="58">
        <v>4.2</v>
      </c>
      <c r="R105" s="58">
        <f>H105*Q105</f>
        <v>130.20000000000002</v>
      </c>
      <c r="S105" s="15">
        <v>0.32700000000000001</v>
      </c>
      <c r="T105" s="70">
        <f>H105*S105</f>
        <v>10.137</v>
      </c>
      <c r="U105" s="15">
        <f>T105*0.0283</f>
        <v>0.2868771</v>
      </c>
      <c r="V105" s="16"/>
      <c r="W105" s="50" t="s">
        <v>42</v>
      </c>
    </row>
    <row r="106" spans="1:23" ht="24" customHeight="1">
      <c r="A106" s="9">
        <v>102</v>
      </c>
      <c r="B106" s="10">
        <v>269218</v>
      </c>
      <c r="C106" s="56" t="s">
        <v>117</v>
      </c>
      <c r="D106" s="10" t="s">
        <v>113</v>
      </c>
      <c r="E106" s="11" t="s">
        <v>118</v>
      </c>
      <c r="F106" s="12">
        <v>252</v>
      </c>
      <c r="G106" s="13">
        <v>4</v>
      </c>
      <c r="H106" s="12">
        <f>F106/G106</f>
        <v>63</v>
      </c>
      <c r="I106" s="14"/>
      <c r="J106" s="14"/>
      <c r="K106" s="14"/>
      <c r="L106" s="14"/>
      <c r="M106" s="14"/>
      <c r="N106" s="14"/>
      <c r="O106" s="58">
        <v>4.0999999999999996</v>
      </c>
      <c r="P106" s="58">
        <f>O106*H106</f>
        <v>258.29999999999995</v>
      </c>
      <c r="Q106" s="58">
        <v>4.5999999999999996</v>
      </c>
      <c r="R106" s="58">
        <f>H106*Q106</f>
        <v>289.79999999999995</v>
      </c>
      <c r="S106" s="15">
        <v>0.42199999999999999</v>
      </c>
      <c r="T106" s="70">
        <f>H106*S106</f>
        <v>26.585999999999999</v>
      </c>
      <c r="U106" s="15">
        <f>T106*0.0283</f>
        <v>0.75238379999999994</v>
      </c>
      <c r="V106" s="16"/>
      <c r="W106" s="50" t="s">
        <v>42</v>
      </c>
    </row>
    <row r="107" spans="1:23" ht="24" customHeight="1">
      <c r="A107" s="9">
        <v>103</v>
      </c>
      <c r="B107" s="10">
        <v>333525</v>
      </c>
      <c r="C107" s="56" t="s">
        <v>134</v>
      </c>
      <c r="D107" s="10" t="s">
        <v>120</v>
      </c>
      <c r="E107" s="11" t="s">
        <v>121</v>
      </c>
      <c r="F107" s="12">
        <v>16</v>
      </c>
      <c r="G107" s="13">
        <v>4</v>
      </c>
      <c r="H107" s="12">
        <f>F107/G107</f>
        <v>4</v>
      </c>
      <c r="I107" s="14"/>
      <c r="J107" s="14"/>
      <c r="K107" s="14"/>
      <c r="L107" s="14"/>
      <c r="M107" s="14"/>
      <c r="N107" s="14"/>
      <c r="O107" s="58">
        <v>3.65</v>
      </c>
      <c r="P107" s="58">
        <f>O107*H107</f>
        <v>14.6</v>
      </c>
      <c r="Q107" s="58">
        <v>4.1500000000000004</v>
      </c>
      <c r="R107" s="58">
        <f>H107*Q107</f>
        <v>16.600000000000001</v>
      </c>
      <c r="S107" s="15">
        <v>0.38900000000000001</v>
      </c>
      <c r="T107" s="70">
        <f>H107*S107</f>
        <v>1.556</v>
      </c>
      <c r="U107" s="15">
        <f>T107*0.0283</f>
        <v>4.4034799999999999E-2</v>
      </c>
      <c r="V107" s="16"/>
      <c r="W107" s="50" t="s">
        <v>42</v>
      </c>
    </row>
    <row r="108" spans="1:23" ht="24" customHeight="1">
      <c r="A108" s="9">
        <v>104</v>
      </c>
      <c r="B108" s="10">
        <v>272613</v>
      </c>
      <c r="C108" s="56" t="s">
        <v>128</v>
      </c>
      <c r="D108" s="10" t="s">
        <v>120</v>
      </c>
      <c r="E108" s="11" t="s">
        <v>121</v>
      </c>
      <c r="F108" s="12">
        <v>32</v>
      </c>
      <c r="G108" s="13">
        <v>4</v>
      </c>
      <c r="H108" s="12">
        <f>F108/G108</f>
        <v>8</v>
      </c>
      <c r="I108" s="14"/>
      <c r="J108" s="14"/>
      <c r="K108" s="14"/>
      <c r="L108" s="14"/>
      <c r="M108" s="14"/>
      <c r="N108" s="14"/>
      <c r="O108" s="58">
        <v>3.65</v>
      </c>
      <c r="P108" s="58">
        <f>O108*H108</f>
        <v>29.2</v>
      </c>
      <c r="Q108" s="58">
        <v>4.1500000000000004</v>
      </c>
      <c r="R108" s="58">
        <f>H108*Q108</f>
        <v>33.200000000000003</v>
      </c>
      <c r="S108" s="15">
        <v>0.38900000000000001</v>
      </c>
      <c r="T108" s="70">
        <f>H108*S108</f>
        <v>3.1120000000000001</v>
      </c>
      <c r="U108" s="15">
        <f>T108*0.0283</f>
        <v>8.8069599999999998E-2</v>
      </c>
      <c r="V108" s="16"/>
      <c r="W108" s="50" t="s">
        <v>42</v>
      </c>
    </row>
    <row r="109" spans="1:23" ht="24" customHeight="1">
      <c r="A109" s="9">
        <v>105</v>
      </c>
      <c r="B109" s="10">
        <v>272614</v>
      </c>
      <c r="C109" s="56" t="s">
        <v>130</v>
      </c>
      <c r="D109" s="10" t="s">
        <v>120</v>
      </c>
      <c r="E109" s="11" t="s">
        <v>121</v>
      </c>
      <c r="F109" s="12">
        <v>28</v>
      </c>
      <c r="G109" s="13">
        <v>4</v>
      </c>
      <c r="H109" s="12">
        <f>F109/G109</f>
        <v>7</v>
      </c>
      <c r="I109" s="14"/>
      <c r="J109" s="14"/>
      <c r="K109" s="14"/>
      <c r="L109" s="14"/>
      <c r="M109" s="14"/>
      <c r="N109" s="14"/>
      <c r="O109" s="58">
        <v>3.65</v>
      </c>
      <c r="P109" s="58">
        <f>O109*H109</f>
        <v>25.55</v>
      </c>
      <c r="Q109" s="58">
        <v>4.1500000000000004</v>
      </c>
      <c r="R109" s="58">
        <f>H109*Q109</f>
        <v>29.050000000000004</v>
      </c>
      <c r="S109" s="15">
        <v>0.38900000000000001</v>
      </c>
      <c r="T109" s="70">
        <f>H109*S109</f>
        <v>2.7229999999999999</v>
      </c>
      <c r="U109" s="15">
        <f>T109*0.0283</f>
        <v>7.7060899999999988E-2</v>
      </c>
      <c r="V109" s="16"/>
      <c r="W109" s="50" t="s">
        <v>42</v>
      </c>
    </row>
    <row r="110" spans="1:23" ht="24" customHeight="1">
      <c r="A110" s="9">
        <v>106</v>
      </c>
      <c r="B110" s="10">
        <v>333527</v>
      </c>
      <c r="C110" s="56" t="s">
        <v>136</v>
      </c>
      <c r="D110" s="10" t="s">
        <v>120</v>
      </c>
      <c r="E110" s="11" t="s">
        <v>121</v>
      </c>
      <c r="F110" s="12">
        <v>28</v>
      </c>
      <c r="G110" s="13">
        <v>4</v>
      </c>
      <c r="H110" s="12">
        <f>F110/G110</f>
        <v>7</v>
      </c>
      <c r="I110" s="14"/>
      <c r="J110" s="14"/>
      <c r="K110" s="14"/>
      <c r="L110" s="14"/>
      <c r="M110" s="14"/>
      <c r="N110" s="14"/>
      <c r="O110" s="58">
        <v>3.65</v>
      </c>
      <c r="P110" s="58">
        <f>O110*H110</f>
        <v>25.55</v>
      </c>
      <c r="Q110" s="58">
        <v>4.1500000000000004</v>
      </c>
      <c r="R110" s="58">
        <f>H110*Q110</f>
        <v>29.050000000000004</v>
      </c>
      <c r="S110" s="15">
        <v>0.38900000000000001</v>
      </c>
      <c r="T110" s="70">
        <f>H110*S110</f>
        <v>2.7229999999999999</v>
      </c>
      <c r="U110" s="15">
        <f>T110*0.0283</f>
        <v>7.7060899999999988E-2</v>
      </c>
      <c r="V110" s="16"/>
      <c r="W110" s="50" t="s">
        <v>42</v>
      </c>
    </row>
    <row r="111" spans="1:23" ht="24" customHeight="1">
      <c r="A111" s="9">
        <v>107</v>
      </c>
      <c r="B111" s="10">
        <v>269219</v>
      </c>
      <c r="C111" s="56" t="s">
        <v>119</v>
      </c>
      <c r="D111" s="10" t="s">
        <v>120</v>
      </c>
      <c r="E111" s="11" t="s">
        <v>121</v>
      </c>
      <c r="F111" s="12">
        <v>496</v>
      </c>
      <c r="G111" s="13">
        <v>4</v>
      </c>
      <c r="H111" s="12">
        <f>F111/G111</f>
        <v>124</v>
      </c>
      <c r="I111" s="14"/>
      <c r="J111" s="14"/>
      <c r="K111" s="14"/>
      <c r="L111" s="14"/>
      <c r="M111" s="14"/>
      <c r="N111" s="14"/>
      <c r="O111" s="58">
        <v>3.65</v>
      </c>
      <c r="P111" s="58">
        <f>O111*H111</f>
        <v>452.59999999999997</v>
      </c>
      <c r="Q111" s="58">
        <v>4.1500000000000004</v>
      </c>
      <c r="R111" s="58">
        <f>H111*Q111</f>
        <v>514.6</v>
      </c>
      <c r="S111" s="15">
        <v>0.38900000000000001</v>
      </c>
      <c r="T111" s="70">
        <f>H111*S111</f>
        <v>48.236000000000004</v>
      </c>
      <c r="U111" s="15">
        <f>T111*0.0283</f>
        <v>1.3650788</v>
      </c>
      <c r="V111" s="16"/>
      <c r="W111" s="50" t="s">
        <v>42</v>
      </c>
    </row>
    <row r="112" spans="1:23" ht="24" customHeight="1">
      <c r="A112" s="9">
        <v>108</v>
      </c>
      <c r="B112" s="10">
        <v>269217</v>
      </c>
      <c r="C112" s="56" t="s">
        <v>115</v>
      </c>
      <c r="D112" s="10" t="s">
        <v>113</v>
      </c>
      <c r="E112" s="11" t="s">
        <v>116</v>
      </c>
      <c r="F112" s="12">
        <v>192</v>
      </c>
      <c r="G112" s="13">
        <v>4</v>
      </c>
      <c r="H112" s="12">
        <f>F112/G112</f>
        <v>48</v>
      </c>
      <c r="I112" s="14"/>
      <c r="J112" s="14"/>
      <c r="K112" s="14"/>
      <c r="L112" s="14"/>
      <c r="M112" s="14"/>
      <c r="N112" s="14"/>
      <c r="O112" s="58">
        <v>5.2</v>
      </c>
      <c r="P112" s="58">
        <f>O112*H112</f>
        <v>249.60000000000002</v>
      </c>
      <c r="Q112" s="58">
        <v>5.83</v>
      </c>
      <c r="R112" s="58">
        <f>H112*Q112</f>
        <v>279.84000000000003</v>
      </c>
      <c r="S112" s="15">
        <v>0.52600000000000002</v>
      </c>
      <c r="T112" s="70">
        <f>H112*S112</f>
        <v>25.248000000000001</v>
      </c>
      <c r="U112" s="15">
        <f>T112*0.0283</f>
        <v>0.7145184</v>
      </c>
      <c r="V112" s="16"/>
      <c r="W112" s="50" t="s">
        <v>42</v>
      </c>
    </row>
    <row r="113" spans="1:23" ht="24" customHeight="1">
      <c r="A113" s="9">
        <v>109</v>
      </c>
      <c r="B113" s="10">
        <v>819874</v>
      </c>
      <c r="C113" s="56" t="s">
        <v>368</v>
      </c>
      <c r="D113" s="10" t="s">
        <v>366</v>
      </c>
      <c r="E113" s="11" t="s">
        <v>369</v>
      </c>
      <c r="F113" s="12">
        <v>160</v>
      </c>
      <c r="G113" s="13">
        <v>4</v>
      </c>
      <c r="H113" s="12">
        <f>F113/G113</f>
        <v>40</v>
      </c>
      <c r="I113" s="14"/>
      <c r="J113" s="14"/>
      <c r="K113" s="14"/>
      <c r="L113" s="14"/>
      <c r="M113" s="14"/>
      <c r="N113" s="14"/>
      <c r="O113" s="58">
        <v>5</v>
      </c>
      <c r="P113" s="58">
        <f>O113*H113</f>
        <v>200</v>
      </c>
      <c r="Q113" s="58">
        <v>5.5</v>
      </c>
      <c r="R113" s="58">
        <f>H113*Q113</f>
        <v>220</v>
      </c>
      <c r="S113" s="15">
        <v>0.42699999999999999</v>
      </c>
      <c r="T113" s="70">
        <f>H113*S113</f>
        <v>17.079999999999998</v>
      </c>
      <c r="U113" s="15">
        <f>T113*0.0283</f>
        <v>0.4833639999999999</v>
      </c>
      <c r="V113" s="16"/>
      <c r="W113" s="50" t="s">
        <v>42</v>
      </c>
    </row>
    <row r="114" spans="1:23" ht="24" customHeight="1">
      <c r="A114" s="9">
        <v>110</v>
      </c>
      <c r="B114" s="10">
        <v>269216</v>
      </c>
      <c r="C114" s="56" t="s">
        <v>112</v>
      </c>
      <c r="D114" s="10" t="s">
        <v>113</v>
      </c>
      <c r="E114" s="11" t="s">
        <v>114</v>
      </c>
      <c r="F114" s="12">
        <v>680</v>
      </c>
      <c r="G114" s="13">
        <v>4</v>
      </c>
      <c r="H114" s="12">
        <f>F114/G114</f>
        <v>170</v>
      </c>
      <c r="I114" s="14"/>
      <c r="J114" s="14"/>
      <c r="K114" s="14"/>
      <c r="L114" s="14"/>
      <c r="M114" s="14"/>
      <c r="N114" s="14"/>
      <c r="O114" s="58">
        <v>6.35</v>
      </c>
      <c r="P114" s="58">
        <f>O114*H114</f>
        <v>1079.5</v>
      </c>
      <c r="Q114" s="58">
        <v>7</v>
      </c>
      <c r="R114" s="58">
        <f>H114*Q114</f>
        <v>1190</v>
      </c>
      <c r="S114" s="15">
        <v>0.627</v>
      </c>
      <c r="T114" s="70">
        <f>H114*S114</f>
        <v>106.59</v>
      </c>
      <c r="U114" s="15">
        <f>T114*0.0283</f>
        <v>3.0164969999999998</v>
      </c>
      <c r="V114" s="16"/>
      <c r="W114" s="50" t="s">
        <v>42</v>
      </c>
    </row>
    <row r="115" spans="1:23" ht="24" customHeight="1">
      <c r="A115" s="9">
        <v>111</v>
      </c>
      <c r="B115" s="10">
        <v>311348</v>
      </c>
      <c r="C115" s="56" t="s">
        <v>301</v>
      </c>
      <c r="D115" s="10" t="s">
        <v>302</v>
      </c>
      <c r="E115" s="11" t="s">
        <v>303</v>
      </c>
      <c r="F115" s="12">
        <v>120</v>
      </c>
      <c r="G115" s="13">
        <v>2</v>
      </c>
      <c r="H115" s="12">
        <f>F115/G115</f>
        <v>60</v>
      </c>
      <c r="I115" s="14"/>
      <c r="J115" s="14"/>
      <c r="K115" s="14"/>
      <c r="L115" s="14"/>
      <c r="M115" s="14"/>
      <c r="N115" s="14"/>
      <c r="O115" s="58">
        <v>21.1</v>
      </c>
      <c r="P115" s="58">
        <f>O115*H115</f>
        <v>1266</v>
      </c>
      <c r="Q115" s="58">
        <v>23.6</v>
      </c>
      <c r="R115" s="58">
        <f>H115*Q115</f>
        <v>1416</v>
      </c>
      <c r="S115" s="15">
        <v>3.3130000000000002</v>
      </c>
      <c r="T115" s="70">
        <f>H115*S115</f>
        <v>198.78</v>
      </c>
      <c r="U115" s="15">
        <f>T115*0.0283</f>
        <v>5.6254739999999996</v>
      </c>
      <c r="V115" s="16"/>
      <c r="W115" s="50" t="s">
        <v>42</v>
      </c>
    </row>
    <row r="116" spans="1:23" ht="24" customHeight="1">
      <c r="A116" s="9">
        <v>112</v>
      </c>
      <c r="B116" s="10">
        <v>810133</v>
      </c>
      <c r="C116" s="56" t="s">
        <v>347</v>
      </c>
      <c r="D116" s="10" t="s">
        <v>348</v>
      </c>
      <c r="E116" s="11" t="s">
        <v>349</v>
      </c>
      <c r="F116" s="12">
        <v>56</v>
      </c>
      <c r="G116" s="13">
        <v>1</v>
      </c>
      <c r="H116" s="12">
        <f>F116/G116</f>
        <v>56</v>
      </c>
      <c r="I116" s="14"/>
      <c r="J116" s="14"/>
      <c r="K116" s="14"/>
      <c r="L116" s="14"/>
      <c r="M116" s="14"/>
      <c r="N116" s="14"/>
      <c r="O116" s="58">
        <v>18.600000000000001</v>
      </c>
      <c r="P116" s="58">
        <f>O116*H116</f>
        <v>1041.6000000000001</v>
      </c>
      <c r="Q116" s="58">
        <v>19.899999999999999</v>
      </c>
      <c r="R116" s="58">
        <f>H116*Q116</f>
        <v>1114.3999999999999</v>
      </c>
      <c r="S116" s="15">
        <v>2.94</v>
      </c>
      <c r="T116" s="70">
        <f>H116*S116</f>
        <v>164.64</v>
      </c>
      <c r="U116" s="15">
        <f>T116*0.0283</f>
        <v>4.659311999999999</v>
      </c>
      <c r="V116" s="16"/>
      <c r="W116" s="50" t="s">
        <v>42</v>
      </c>
    </row>
    <row r="117" spans="1:23" ht="24" customHeight="1">
      <c r="A117" s="9">
        <v>113</v>
      </c>
      <c r="B117" s="10">
        <v>819848</v>
      </c>
      <c r="C117" s="56" t="s">
        <v>355</v>
      </c>
      <c r="D117" s="10" t="s">
        <v>50</v>
      </c>
      <c r="E117" s="11" t="s">
        <v>356</v>
      </c>
      <c r="F117" s="12">
        <v>78</v>
      </c>
      <c r="G117" s="13">
        <v>1</v>
      </c>
      <c r="H117" s="12">
        <f>F117/G117</f>
        <v>78</v>
      </c>
      <c r="I117" s="14"/>
      <c r="J117" s="14"/>
      <c r="K117" s="14"/>
      <c r="L117" s="14"/>
      <c r="M117" s="14"/>
      <c r="N117" s="14"/>
      <c r="O117" s="58">
        <v>16.350000000000001</v>
      </c>
      <c r="P117" s="58">
        <f>O117*H117</f>
        <v>1275.3000000000002</v>
      </c>
      <c r="Q117" s="58">
        <v>17.600000000000001</v>
      </c>
      <c r="R117" s="58">
        <f>H117*Q117</f>
        <v>1372.8000000000002</v>
      </c>
      <c r="S117" s="15">
        <v>3.6729999999999996</v>
      </c>
      <c r="T117" s="70">
        <f>H117*S117</f>
        <v>286.49399999999997</v>
      </c>
      <c r="U117" s="15">
        <f>T117*0.0283</f>
        <v>8.1077801999999988</v>
      </c>
      <c r="V117" s="16"/>
      <c r="W117" s="50" t="s">
        <v>42</v>
      </c>
    </row>
    <row r="118" spans="1:23" ht="24" customHeight="1">
      <c r="A118" s="9">
        <v>114</v>
      </c>
      <c r="B118" s="10">
        <v>842086</v>
      </c>
      <c r="C118" s="56" t="s">
        <v>384</v>
      </c>
      <c r="D118" s="10" t="s">
        <v>380</v>
      </c>
      <c r="E118" s="11" t="s">
        <v>385</v>
      </c>
      <c r="F118" s="12">
        <v>80</v>
      </c>
      <c r="G118" s="13">
        <v>4</v>
      </c>
      <c r="H118" s="12">
        <f>F118/G118</f>
        <v>20</v>
      </c>
      <c r="I118" s="14"/>
      <c r="J118" s="14"/>
      <c r="K118" s="14"/>
      <c r="L118" s="14"/>
      <c r="M118" s="14"/>
      <c r="N118" s="14"/>
      <c r="O118" s="58">
        <v>8.4</v>
      </c>
      <c r="P118" s="58">
        <f>O118*H118</f>
        <v>168</v>
      </c>
      <c r="Q118" s="58">
        <v>9.5</v>
      </c>
      <c r="R118" s="58">
        <f>H118*Q118</f>
        <v>190</v>
      </c>
      <c r="S118" s="15">
        <v>2.9899999999999998</v>
      </c>
      <c r="T118" s="70">
        <f>H118*S118</f>
        <v>59.8</v>
      </c>
      <c r="U118" s="15">
        <f>T118*0.0283</f>
        <v>1.69234</v>
      </c>
      <c r="V118" s="16"/>
      <c r="W118" s="50" t="s">
        <v>203</v>
      </c>
    </row>
    <row r="119" spans="1:23" ht="24" customHeight="1">
      <c r="A119" s="9">
        <v>115</v>
      </c>
      <c r="B119" s="10">
        <v>842072</v>
      </c>
      <c r="C119" s="56" t="s">
        <v>377</v>
      </c>
      <c r="D119" s="10" t="s">
        <v>373</v>
      </c>
      <c r="E119" s="11" t="s">
        <v>378</v>
      </c>
      <c r="F119" s="12">
        <v>40</v>
      </c>
      <c r="G119" s="13">
        <v>2</v>
      </c>
      <c r="H119" s="12">
        <f>F119/G119</f>
        <v>20</v>
      </c>
      <c r="I119" s="14"/>
      <c r="J119" s="14"/>
      <c r="K119" s="14"/>
      <c r="L119" s="14"/>
      <c r="M119" s="14"/>
      <c r="N119" s="14"/>
      <c r="O119" s="58">
        <v>10.8</v>
      </c>
      <c r="P119" s="58">
        <f>O119*H119</f>
        <v>216</v>
      </c>
      <c r="Q119" s="58">
        <v>11.7</v>
      </c>
      <c r="R119" s="58">
        <f>H119*Q119</f>
        <v>234</v>
      </c>
      <c r="S119" s="15">
        <v>1.5550000000000002</v>
      </c>
      <c r="T119" s="70">
        <f>H119*S119</f>
        <v>31.1</v>
      </c>
      <c r="U119" s="15">
        <f>T119*0.0283</f>
        <v>0.88012999999999997</v>
      </c>
      <c r="V119" s="16"/>
      <c r="W119" s="50" t="s">
        <v>208</v>
      </c>
    </row>
    <row r="120" spans="1:23" ht="24" customHeight="1">
      <c r="A120" s="9">
        <v>116</v>
      </c>
      <c r="B120" s="10">
        <v>810127</v>
      </c>
      <c r="C120" s="56" t="s">
        <v>353</v>
      </c>
      <c r="D120" s="10" t="s">
        <v>351</v>
      </c>
      <c r="E120" s="11" t="s">
        <v>354</v>
      </c>
      <c r="F120" s="12">
        <v>24</v>
      </c>
      <c r="G120" s="13">
        <v>1</v>
      </c>
      <c r="H120" s="12">
        <f>F120/G120</f>
        <v>24</v>
      </c>
      <c r="I120" s="14"/>
      <c r="J120" s="14"/>
      <c r="K120" s="14"/>
      <c r="L120" s="14"/>
      <c r="M120" s="14"/>
      <c r="N120" s="14"/>
      <c r="O120" s="58">
        <v>11.6</v>
      </c>
      <c r="P120" s="58">
        <f>O120*H120</f>
        <v>278.39999999999998</v>
      </c>
      <c r="Q120" s="58">
        <v>12.4</v>
      </c>
      <c r="R120" s="58">
        <f>H120*Q120</f>
        <v>297.60000000000002</v>
      </c>
      <c r="S120" s="15">
        <v>1.7090000000000001</v>
      </c>
      <c r="T120" s="70">
        <f>H120*S120</f>
        <v>41.016000000000005</v>
      </c>
      <c r="U120" s="15">
        <f>T120*0.0283</f>
        <v>1.1607528</v>
      </c>
      <c r="V120" s="16"/>
      <c r="W120" s="50" t="s">
        <v>42</v>
      </c>
    </row>
    <row r="121" spans="1:23" ht="24" customHeight="1">
      <c r="A121" s="9">
        <v>117</v>
      </c>
      <c r="B121" s="10">
        <v>810131</v>
      </c>
      <c r="C121" s="56" t="s">
        <v>344</v>
      </c>
      <c r="D121" s="10" t="s">
        <v>345</v>
      </c>
      <c r="E121" s="11" t="s">
        <v>346</v>
      </c>
      <c r="F121" s="12">
        <v>50</v>
      </c>
      <c r="G121" s="13">
        <v>1</v>
      </c>
      <c r="H121" s="12">
        <f>F121/G121</f>
        <v>50</v>
      </c>
      <c r="I121" s="14"/>
      <c r="J121" s="14"/>
      <c r="K121" s="14"/>
      <c r="L121" s="14"/>
      <c r="M121" s="14"/>
      <c r="N121" s="14"/>
      <c r="O121" s="58">
        <v>12.2</v>
      </c>
      <c r="P121" s="58">
        <f>O121*H121</f>
        <v>610</v>
      </c>
      <c r="Q121" s="58">
        <v>13.2</v>
      </c>
      <c r="R121" s="58">
        <f>H121*Q121</f>
        <v>660</v>
      </c>
      <c r="S121" s="15">
        <v>2.3029999999999999</v>
      </c>
      <c r="T121" s="70">
        <f>H121*S121</f>
        <v>115.14999999999999</v>
      </c>
      <c r="U121" s="15">
        <f>T121*0.0283</f>
        <v>3.2587449999999998</v>
      </c>
      <c r="V121" s="16"/>
      <c r="W121" s="50" t="s">
        <v>42</v>
      </c>
    </row>
    <row r="122" spans="1:23" ht="24" customHeight="1">
      <c r="A122" s="9">
        <v>118</v>
      </c>
      <c r="B122" s="10">
        <v>722349</v>
      </c>
      <c r="C122" s="56" t="s">
        <v>398</v>
      </c>
      <c r="D122" s="10" t="s">
        <v>234</v>
      </c>
      <c r="E122" s="11" t="s">
        <v>399</v>
      </c>
      <c r="F122" s="12">
        <v>102</v>
      </c>
      <c r="G122" s="13">
        <v>6</v>
      </c>
      <c r="H122" s="12">
        <f>F122/G122</f>
        <v>17</v>
      </c>
      <c r="I122" s="14"/>
      <c r="J122" s="14"/>
      <c r="K122" s="14"/>
      <c r="L122" s="14"/>
      <c r="M122" s="14"/>
      <c r="N122" s="14"/>
      <c r="O122" s="58">
        <v>2</v>
      </c>
      <c r="P122" s="58">
        <f>O122*H122</f>
        <v>34</v>
      </c>
      <c r="Q122" s="58">
        <v>2.2000000000000002</v>
      </c>
      <c r="R122" s="58">
        <f>H122*Q122</f>
        <v>37.400000000000006</v>
      </c>
      <c r="S122" s="15">
        <v>0.152</v>
      </c>
      <c r="T122" s="70">
        <f>H122*S122</f>
        <v>2.5840000000000001</v>
      </c>
      <c r="U122" s="15">
        <f>T122*0.0283</f>
        <v>7.3127200000000003E-2</v>
      </c>
      <c r="V122" s="16"/>
      <c r="W122" s="50" t="s">
        <v>208</v>
      </c>
    </row>
    <row r="123" spans="1:23" ht="24" customHeight="1">
      <c r="A123" s="9">
        <v>119</v>
      </c>
      <c r="B123" s="10">
        <v>842083</v>
      </c>
      <c r="C123" s="56" t="s">
        <v>379</v>
      </c>
      <c r="D123" s="10" t="s">
        <v>380</v>
      </c>
      <c r="E123" s="11" t="s">
        <v>381</v>
      </c>
      <c r="F123" s="12">
        <v>100</v>
      </c>
      <c r="G123" s="13">
        <v>4</v>
      </c>
      <c r="H123" s="12">
        <f>F123/G123</f>
        <v>25</v>
      </c>
      <c r="I123" s="14"/>
      <c r="J123" s="14"/>
      <c r="K123" s="14"/>
      <c r="L123" s="14"/>
      <c r="M123" s="14"/>
      <c r="N123" s="14"/>
      <c r="O123" s="58">
        <v>5.5</v>
      </c>
      <c r="P123" s="58">
        <f>O123*H123</f>
        <v>137.5</v>
      </c>
      <c r="Q123" s="58">
        <v>6.25</v>
      </c>
      <c r="R123" s="58">
        <f>H123*Q123</f>
        <v>156.25</v>
      </c>
      <c r="S123" s="15">
        <v>1.6559999999999999</v>
      </c>
      <c r="T123" s="70">
        <f>H123*S123</f>
        <v>41.4</v>
      </c>
      <c r="U123" s="15">
        <f>T123*0.0283</f>
        <v>1.1716199999999999</v>
      </c>
      <c r="V123" s="16"/>
      <c r="W123" s="50" t="s">
        <v>203</v>
      </c>
    </row>
    <row r="124" spans="1:23" ht="24" customHeight="1">
      <c r="A124" s="9">
        <v>120</v>
      </c>
      <c r="B124" s="10">
        <v>842070</v>
      </c>
      <c r="C124" s="56" t="s">
        <v>372</v>
      </c>
      <c r="D124" s="10" t="s">
        <v>373</v>
      </c>
      <c r="E124" s="11" t="s">
        <v>374</v>
      </c>
      <c r="F124" s="12">
        <v>50</v>
      </c>
      <c r="G124" s="13">
        <v>2</v>
      </c>
      <c r="H124" s="12">
        <f>F124/G124</f>
        <v>25</v>
      </c>
      <c r="I124" s="14"/>
      <c r="J124" s="14"/>
      <c r="K124" s="14"/>
      <c r="L124" s="14"/>
      <c r="M124" s="14"/>
      <c r="N124" s="14"/>
      <c r="O124" s="58">
        <v>6.4</v>
      </c>
      <c r="P124" s="58">
        <f>O124*H124</f>
        <v>160</v>
      </c>
      <c r="Q124" s="58">
        <v>6.9</v>
      </c>
      <c r="R124" s="58">
        <f>H124*Q124</f>
        <v>172.5</v>
      </c>
      <c r="S124" s="15">
        <v>0.86099999999999999</v>
      </c>
      <c r="T124" s="70">
        <f>H124*S124</f>
        <v>21.524999999999999</v>
      </c>
      <c r="U124" s="15">
        <f>T124*0.0283</f>
        <v>0.60915749999999991</v>
      </c>
      <c r="V124" s="16"/>
      <c r="W124" s="50" t="s">
        <v>208</v>
      </c>
    </row>
    <row r="125" spans="1:23" ht="24" customHeight="1">
      <c r="A125" s="9">
        <v>121</v>
      </c>
      <c r="B125" s="10">
        <v>842115</v>
      </c>
      <c r="C125" s="56" t="s">
        <v>390</v>
      </c>
      <c r="D125" s="10" t="s">
        <v>143</v>
      </c>
      <c r="E125" s="11" t="s">
        <v>237</v>
      </c>
      <c r="F125" s="12">
        <v>40</v>
      </c>
      <c r="G125" s="13">
        <v>4</v>
      </c>
      <c r="H125" s="12">
        <f>F125/G125</f>
        <v>10</v>
      </c>
      <c r="I125" s="14"/>
      <c r="J125" s="14"/>
      <c r="K125" s="14"/>
      <c r="L125" s="14"/>
      <c r="M125" s="14"/>
      <c r="N125" s="14"/>
      <c r="O125" s="58">
        <v>1.95</v>
      </c>
      <c r="P125" s="58">
        <f>O125*H125</f>
        <v>19.5</v>
      </c>
      <c r="Q125" s="58">
        <v>2.1</v>
      </c>
      <c r="R125" s="58">
        <f>H125*Q125</f>
        <v>21</v>
      </c>
      <c r="S125" s="15">
        <v>0.155</v>
      </c>
      <c r="T125" s="70">
        <f>H125*S125</f>
        <v>1.55</v>
      </c>
      <c r="U125" s="15">
        <f>T125*0.0283</f>
        <v>4.3865000000000001E-2</v>
      </c>
      <c r="V125" s="16"/>
      <c r="W125" s="50" t="s">
        <v>208</v>
      </c>
    </row>
    <row r="126" spans="1:23" ht="24" customHeight="1">
      <c r="A126" s="9">
        <v>122</v>
      </c>
      <c r="B126" s="10">
        <v>842084</v>
      </c>
      <c r="C126" s="56" t="s">
        <v>382</v>
      </c>
      <c r="D126" s="10" t="s">
        <v>380</v>
      </c>
      <c r="E126" s="11" t="s">
        <v>383</v>
      </c>
      <c r="F126" s="12">
        <v>80</v>
      </c>
      <c r="G126" s="13">
        <v>4</v>
      </c>
      <c r="H126" s="12">
        <f>F126/G126</f>
        <v>20</v>
      </c>
      <c r="I126" s="14"/>
      <c r="J126" s="14"/>
      <c r="K126" s="14"/>
      <c r="L126" s="14"/>
      <c r="M126" s="14"/>
      <c r="N126" s="14"/>
      <c r="O126" s="58">
        <v>6.7</v>
      </c>
      <c r="P126" s="58">
        <f>O126*H126</f>
        <v>134</v>
      </c>
      <c r="Q126" s="58">
        <v>7.6</v>
      </c>
      <c r="R126" s="58">
        <f>H126*Q126</f>
        <v>152</v>
      </c>
      <c r="S126" s="15">
        <v>2.1870000000000003</v>
      </c>
      <c r="T126" s="70">
        <f>H126*S126</f>
        <v>43.740000000000009</v>
      </c>
      <c r="U126" s="15">
        <f>T126*0.0283</f>
        <v>1.2378420000000001</v>
      </c>
      <c r="V126" s="16"/>
      <c r="W126" s="50" t="s">
        <v>203</v>
      </c>
    </row>
    <row r="127" spans="1:23" ht="24" customHeight="1">
      <c r="A127" s="9">
        <v>123</v>
      </c>
      <c r="B127" s="10">
        <v>842071</v>
      </c>
      <c r="C127" s="56" t="s">
        <v>375</v>
      </c>
      <c r="D127" s="10" t="s">
        <v>373</v>
      </c>
      <c r="E127" s="11" t="s">
        <v>376</v>
      </c>
      <c r="F127" s="12">
        <v>40</v>
      </c>
      <c r="G127" s="13">
        <v>2</v>
      </c>
      <c r="H127" s="12">
        <f>F127/G127</f>
        <v>20</v>
      </c>
      <c r="I127" s="14"/>
      <c r="J127" s="14"/>
      <c r="K127" s="14"/>
      <c r="L127" s="14"/>
      <c r="M127" s="14"/>
      <c r="N127" s="14"/>
      <c r="O127" s="58">
        <v>8.3000000000000007</v>
      </c>
      <c r="P127" s="58">
        <f>O127*H127</f>
        <v>166</v>
      </c>
      <c r="Q127" s="58">
        <v>8.9</v>
      </c>
      <c r="R127" s="58">
        <f>H127*Q127</f>
        <v>178</v>
      </c>
      <c r="S127" s="15">
        <v>1.1380000000000001</v>
      </c>
      <c r="T127" s="70">
        <f>H127*S127</f>
        <v>22.76</v>
      </c>
      <c r="U127" s="15">
        <f>T127*0.0283</f>
        <v>0.64410800000000001</v>
      </c>
      <c r="V127" s="16"/>
      <c r="W127" s="50" t="s">
        <v>208</v>
      </c>
    </row>
    <row r="128" spans="1:23" ht="24" customHeight="1">
      <c r="A128" s="9">
        <v>124</v>
      </c>
      <c r="B128" s="10">
        <v>810123</v>
      </c>
      <c r="C128" s="56" t="s">
        <v>350</v>
      </c>
      <c r="D128" s="10" t="s">
        <v>351</v>
      </c>
      <c r="E128" s="11" t="s">
        <v>352</v>
      </c>
      <c r="F128" s="12">
        <v>35</v>
      </c>
      <c r="G128" s="13">
        <v>1</v>
      </c>
      <c r="H128" s="12">
        <f>F128/G128</f>
        <v>35</v>
      </c>
      <c r="I128" s="14"/>
      <c r="J128" s="14"/>
      <c r="K128" s="14"/>
      <c r="L128" s="14"/>
      <c r="M128" s="14"/>
      <c r="N128" s="14"/>
      <c r="O128" s="58">
        <v>9.4</v>
      </c>
      <c r="P128" s="58">
        <f>O128*H128</f>
        <v>329</v>
      </c>
      <c r="Q128" s="58">
        <v>10</v>
      </c>
      <c r="R128" s="58">
        <f>H128*Q128</f>
        <v>350</v>
      </c>
      <c r="S128" s="15">
        <v>1.254</v>
      </c>
      <c r="T128" s="70">
        <f>H128*S128</f>
        <v>43.89</v>
      </c>
      <c r="U128" s="15">
        <f>T128*0.0283</f>
        <v>1.2420869999999999</v>
      </c>
      <c r="V128" s="16"/>
      <c r="W128" s="50" t="s">
        <v>42</v>
      </c>
    </row>
    <row r="129" spans="1:23" ht="24" customHeight="1">
      <c r="A129" s="9">
        <v>125</v>
      </c>
      <c r="B129" s="10">
        <v>842116</v>
      </c>
      <c r="C129" s="56" t="s">
        <v>391</v>
      </c>
      <c r="D129" s="10" t="s">
        <v>143</v>
      </c>
      <c r="E129" s="11" t="s">
        <v>392</v>
      </c>
      <c r="F129" s="12">
        <v>40</v>
      </c>
      <c r="G129" s="13">
        <v>4</v>
      </c>
      <c r="H129" s="12">
        <f>F129/G129</f>
        <v>10</v>
      </c>
      <c r="I129" s="14"/>
      <c r="J129" s="14"/>
      <c r="K129" s="14"/>
      <c r="L129" s="14"/>
      <c r="M129" s="14"/>
      <c r="N129" s="14"/>
      <c r="O129" s="58">
        <v>2.2999999999999998</v>
      </c>
      <c r="P129" s="58">
        <f>O129*H129</f>
        <v>23</v>
      </c>
      <c r="Q129" s="58">
        <v>2.5</v>
      </c>
      <c r="R129" s="58">
        <f>H129*Q129</f>
        <v>25</v>
      </c>
      <c r="S129" s="15">
        <v>0.20399999999999999</v>
      </c>
      <c r="T129" s="70">
        <f>H129*S129</f>
        <v>2.04</v>
      </c>
      <c r="U129" s="15">
        <f>T129*0.0283</f>
        <v>5.7731999999999999E-2</v>
      </c>
      <c r="V129" s="16"/>
      <c r="W129" s="50" t="s">
        <v>208</v>
      </c>
    </row>
    <row r="130" spans="1:23" ht="24" customHeight="1">
      <c r="A130" s="9">
        <v>126</v>
      </c>
      <c r="B130" s="10">
        <v>845249</v>
      </c>
      <c r="C130" s="56" t="s">
        <v>393</v>
      </c>
      <c r="D130" s="10" t="s">
        <v>394</v>
      </c>
      <c r="E130" s="11" t="s">
        <v>395</v>
      </c>
      <c r="F130" s="12">
        <v>60</v>
      </c>
      <c r="G130" s="13">
        <v>4</v>
      </c>
      <c r="H130" s="12">
        <f>F130/G130</f>
        <v>15</v>
      </c>
      <c r="I130" s="14"/>
      <c r="J130" s="14"/>
      <c r="K130" s="14"/>
      <c r="L130" s="14"/>
      <c r="M130" s="14"/>
      <c r="N130" s="14"/>
      <c r="O130" s="58">
        <v>4</v>
      </c>
      <c r="P130" s="58">
        <f>O130*H130</f>
        <v>60</v>
      </c>
      <c r="Q130" s="58">
        <v>4.9000000000000004</v>
      </c>
      <c r="R130" s="58">
        <f>H130*Q130</f>
        <v>73.5</v>
      </c>
      <c r="S130" s="15">
        <v>1.8660000000000001</v>
      </c>
      <c r="T130" s="70">
        <f>H130*S130</f>
        <v>27.990000000000002</v>
      </c>
      <c r="U130" s="15">
        <f>T130*0.0283</f>
        <v>0.79211700000000007</v>
      </c>
      <c r="V130" s="16"/>
      <c r="W130" s="50" t="s">
        <v>208</v>
      </c>
    </row>
    <row r="131" spans="1:23" ht="24" customHeight="1">
      <c r="A131" s="9">
        <v>127</v>
      </c>
      <c r="B131" s="10">
        <v>845252</v>
      </c>
      <c r="C131" s="56" t="s">
        <v>396</v>
      </c>
      <c r="D131" s="10" t="s">
        <v>394</v>
      </c>
      <c r="E131" s="11" t="s">
        <v>397</v>
      </c>
      <c r="F131" s="12">
        <v>40</v>
      </c>
      <c r="G131" s="13">
        <v>4</v>
      </c>
      <c r="H131" s="12">
        <f>F131/G131</f>
        <v>10</v>
      </c>
      <c r="I131" s="14"/>
      <c r="J131" s="14"/>
      <c r="K131" s="14"/>
      <c r="L131" s="14"/>
      <c r="M131" s="14"/>
      <c r="N131" s="14"/>
      <c r="O131" s="58">
        <v>4.25</v>
      </c>
      <c r="P131" s="58">
        <f>O131*H131</f>
        <v>42.5</v>
      </c>
      <c r="Q131" s="58">
        <v>5.55</v>
      </c>
      <c r="R131" s="58">
        <f>H131*Q131</f>
        <v>55.5</v>
      </c>
      <c r="S131" s="15">
        <v>2.6339999999999999</v>
      </c>
      <c r="T131" s="70">
        <f>H131*S131</f>
        <v>26.34</v>
      </c>
      <c r="U131" s="15">
        <f>T131*0.0283</f>
        <v>0.74542199999999992</v>
      </c>
      <c r="V131" s="16"/>
      <c r="W131" s="50" t="s">
        <v>208</v>
      </c>
    </row>
    <row r="132" spans="1:23" ht="24" customHeight="1">
      <c r="A132" s="9">
        <v>128</v>
      </c>
      <c r="B132" s="10">
        <v>842111</v>
      </c>
      <c r="C132" s="56" t="s">
        <v>386</v>
      </c>
      <c r="D132" s="10" t="s">
        <v>253</v>
      </c>
      <c r="E132" s="11" t="s">
        <v>387</v>
      </c>
      <c r="F132" s="12">
        <v>80</v>
      </c>
      <c r="G132" s="13">
        <v>4</v>
      </c>
      <c r="H132" s="12">
        <f>F132/G132</f>
        <v>20</v>
      </c>
      <c r="I132" s="14"/>
      <c r="J132" s="14"/>
      <c r="K132" s="14"/>
      <c r="L132" s="14"/>
      <c r="M132" s="14"/>
      <c r="N132" s="14"/>
      <c r="O132" s="58">
        <v>2.4500000000000002</v>
      </c>
      <c r="P132" s="58">
        <f>O132*H132</f>
        <v>49</v>
      </c>
      <c r="Q132" s="58">
        <v>2.85</v>
      </c>
      <c r="R132" s="58">
        <f>H132*Q132</f>
        <v>57</v>
      </c>
      <c r="S132" s="15">
        <v>0.434</v>
      </c>
      <c r="T132" s="70">
        <f>H132*S132</f>
        <v>8.68</v>
      </c>
      <c r="U132" s="15">
        <f>T132*0.0283</f>
        <v>0.24564399999999997</v>
      </c>
      <c r="V132" s="16"/>
      <c r="W132" s="50" t="s">
        <v>203</v>
      </c>
    </row>
    <row r="133" spans="1:23" ht="24" customHeight="1">
      <c r="A133" s="9">
        <v>129</v>
      </c>
      <c r="B133" s="10">
        <v>842112</v>
      </c>
      <c r="C133" s="56" t="s">
        <v>388</v>
      </c>
      <c r="D133" s="10" t="s">
        <v>253</v>
      </c>
      <c r="E133" s="11" t="s">
        <v>389</v>
      </c>
      <c r="F133" s="12">
        <v>40</v>
      </c>
      <c r="G133" s="13">
        <v>4</v>
      </c>
      <c r="H133" s="12">
        <f>F133/G133</f>
        <v>10</v>
      </c>
      <c r="I133" s="14"/>
      <c r="J133" s="14"/>
      <c r="K133" s="14"/>
      <c r="L133" s="14"/>
      <c r="M133" s="14"/>
      <c r="N133" s="14"/>
      <c r="O133" s="58">
        <v>2.5</v>
      </c>
      <c r="P133" s="58">
        <f>O133*H133</f>
        <v>25</v>
      </c>
      <c r="Q133" s="58">
        <v>3</v>
      </c>
      <c r="R133" s="58">
        <f>H133*Q133</f>
        <v>30</v>
      </c>
      <c r="S133" s="15">
        <v>0.46500000000000002</v>
      </c>
      <c r="T133" s="70">
        <f>H133*S133</f>
        <v>4.6500000000000004</v>
      </c>
      <c r="U133" s="15">
        <f>T133*0.0283</f>
        <v>0.13159500000000002</v>
      </c>
      <c r="V133" s="16"/>
      <c r="W133" s="50" t="s">
        <v>203</v>
      </c>
    </row>
    <row r="134" spans="1:23" ht="24" customHeight="1">
      <c r="A134" s="9">
        <v>130</v>
      </c>
      <c r="B134" s="10">
        <v>54544</v>
      </c>
      <c r="C134" s="56" t="s">
        <v>255</v>
      </c>
      <c r="D134" s="10" t="s">
        <v>253</v>
      </c>
      <c r="E134" s="11" t="s">
        <v>183</v>
      </c>
      <c r="F134" s="12">
        <v>60</v>
      </c>
      <c r="G134" s="13">
        <v>4</v>
      </c>
      <c r="H134" s="12">
        <f>F134/G134</f>
        <v>15</v>
      </c>
      <c r="I134" s="14"/>
      <c r="J134" s="14"/>
      <c r="K134" s="14"/>
      <c r="L134" s="14"/>
      <c r="M134" s="14"/>
      <c r="N134" s="14"/>
      <c r="O134" s="58">
        <v>2.48</v>
      </c>
      <c r="P134" s="58">
        <f>O134*H134</f>
        <v>37.200000000000003</v>
      </c>
      <c r="Q134" s="58">
        <v>2.91</v>
      </c>
      <c r="R134" s="58">
        <f>H134*Q134</f>
        <v>43.650000000000006</v>
      </c>
      <c r="S134" s="15">
        <v>0.30399999999999999</v>
      </c>
      <c r="T134" s="70">
        <f>H134*S134</f>
        <v>4.5599999999999996</v>
      </c>
      <c r="U134" s="15">
        <f>T134*0.0283</f>
        <v>0.129048</v>
      </c>
      <c r="V134" s="16"/>
      <c r="W134" s="50" t="s">
        <v>42</v>
      </c>
    </row>
    <row r="135" spans="1:23" ht="24" customHeight="1">
      <c r="A135" s="9">
        <v>131</v>
      </c>
      <c r="B135" s="10">
        <v>54545</v>
      </c>
      <c r="C135" s="56" t="s">
        <v>256</v>
      </c>
      <c r="D135" s="10" t="s">
        <v>253</v>
      </c>
      <c r="E135" s="11" t="s">
        <v>185</v>
      </c>
      <c r="F135" s="12">
        <v>52</v>
      </c>
      <c r="G135" s="13">
        <v>4</v>
      </c>
      <c r="H135" s="12">
        <f>F135/G135</f>
        <v>13</v>
      </c>
      <c r="I135" s="14"/>
      <c r="J135" s="14"/>
      <c r="K135" s="14"/>
      <c r="L135" s="14"/>
      <c r="M135" s="14"/>
      <c r="N135" s="14"/>
      <c r="O135" s="58">
        <v>3.05</v>
      </c>
      <c r="P135" s="58">
        <f>O135*H135</f>
        <v>39.65</v>
      </c>
      <c r="Q135" s="58">
        <v>3.55</v>
      </c>
      <c r="R135" s="58">
        <f>H135*Q135</f>
        <v>46.15</v>
      </c>
      <c r="S135" s="15">
        <v>0.39700000000000002</v>
      </c>
      <c r="T135" s="70">
        <f>H135*S135</f>
        <v>5.1610000000000005</v>
      </c>
      <c r="U135" s="15">
        <f>T135*0.0283</f>
        <v>0.1460563</v>
      </c>
      <c r="V135" s="16"/>
      <c r="W135" s="50" t="s">
        <v>42</v>
      </c>
    </row>
    <row r="136" spans="1:23" ht="24" customHeight="1">
      <c r="A136" s="9">
        <v>132</v>
      </c>
      <c r="B136" s="10">
        <v>54542</v>
      </c>
      <c r="C136" s="56" t="s">
        <v>252</v>
      </c>
      <c r="D136" s="10" t="s">
        <v>253</v>
      </c>
      <c r="E136" s="11" t="s">
        <v>53</v>
      </c>
      <c r="F136" s="12">
        <v>140</v>
      </c>
      <c r="G136" s="13">
        <v>4</v>
      </c>
      <c r="H136" s="12">
        <f>F136/G136</f>
        <v>35</v>
      </c>
      <c r="I136" s="14"/>
      <c r="J136" s="14"/>
      <c r="K136" s="14"/>
      <c r="L136" s="14"/>
      <c r="M136" s="14"/>
      <c r="N136" s="14"/>
      <c r="O136" s="58">
        <v>3.25</v>
      </c>
      <c r="P136" s="58">
        <f>O136*H136</f>
        <v>113.75</v>
      </c>
      <c r="Q136" s="58">
        <v>3.8</v>
      </c>
      <c r="R136" s="58">
        <f>H136*Q136</f>
        <v>133</v>
      </c>
      <c r="S136" s="15">
        <v>0.42399999999999999</v>
      </c>
      <c r="T136" s="70">
        <f>H136*S136</f>
        <v>14.84</v>
      </c>
      <c r="U136" s="15">
        <f>T136*0.0283</f>
        <v>0.41997199999999996</v>
      </c>
      <c r="V136" s="16"/>
      <c r="W136" s="50" t="s">
        <v>42</v>
      </c>
    </row>
    <row r="137" spans="1:23" ht="24" customHeight="1">
      <c r="A137" s="9">
        <v>133</v>
      </c>
      <c r="B137" s="10">
        <v>54543</v>
      </c>
      <c r="C137" s="56" t="s">
        <v>254</v>
      </c>
      <c r="D137" s="10" t="s">
        <v>253</v>
      </c>
      <c r="E137" s="11" t="s">
        <v>55</v>
      </c>
      <c r="F137" s="12">
        <v>72</v>
      </c>
      <c r="G137" s="13">
        <v>4</v>
      </c>
      <c r="H137" s="12">
        <f>F137/G137</f>
        <v>18</v>
      </c>
      <c r="I137" s="14"/>
      <c r="J137" s="14"/>
      <c r="K137" s="14"/>
      <c r="L137" s="14"/>
      <c r="M137" s="14"/>
      <c r="N137" s="14"/>
      <c r="O137" s="58">
        <v>3.96</v>
      </c>
      <c r="P137" s="58">
        <f>O137*H137</f>
        <v>71.28</v>
      </c>
      <c r="Q137" s="58">
        <v>4.5999999999999996</v>
      </c>
      <c r="R137" s="58">
        <f>H137*Q137</f>
        <v>82.8</v>
      </c>
      <c r="S137" s="15">
        <v>0.51900000000000002</v>
      </c>
      <c r="T137" s="70">
        <f>H137*S137</f>
        <v>9.3420000000000005</v>
      </c>
      <c r="U137" s="15">
        <f>T137*0.0283</f>
        <v>0.26437860000000002</v>
      </c>
      <c r="V137" s="16"/>
      <c r="W137" s="50" t="s">
        <v>42</v>
      </c>
    </row>
    <row r="138" spans="1:23" ht="24" customHeight="1">
      <c r="A138" s="9">
        <v>134</v>
      </c>
      <c r="B138" s="10">
        <v>287303</v>
      </c>
      <c r="C138" s="56" t="s">
        <v>331</v>
      </c>
      <c r="D138" s="10" t="s">
        <v>327</v>
      </c>
      <c r="E138" s="11" t="s">
        <v>57</v>
      </c>
      <c r="F138" s="12">
        <v>138</v>
      </c>
      <c r="G138" s="13">
        <v>6</v>
      </c>
      <c r="H138" s="12">
        <f>F138/G138</f>
        <v>23</v>
      </c>
      <c r="I138" s="14"/>
      <c r="J138" s="14"/>
      <c r="K138" s="14"/>
      <c r="L138" s="14"/>
      <c r="M138" s="14"/>
      <c r="N138" s="14"/>
      <c r="O138" s="58">
        <v>15.25</v>
      </c>
      <c r="P138" s="58">
        <f>O138*H138</f>
        <v>350.75</v>
      </c>
      <c r="Q138" s="58">
        <v>15.85</v>
      </c>
      <c r="R138" s="58">
        <f>H138*Q138</f>
        <v>364.55</v>
      </c>
      <c r="S138" s="15">
        <v>0.72699999999999998</v>
      </c>
      <c r="T138" s="70">
        <f>H138*S138</f>
        <v>16.721</v>
      </c>
      <c r="U138" s="15">
        <f>T138*0.0283</f>
        <v>0.47320429999999997</v>
      </c>
      <c r="V138" s="16"/>
      <c r="W138" s="50" t="s">
        <v>42</v>
      </c>
    </row>
    <row r="139" spans="1:23" ht="24" customHeight="1">
      <c r="A139" s="9">
        <v>135</v>
      </c>
      <c r="B139" s="10">
        <v>306456</v>
      </c>
      <c r="C139" s="56" t="s">
        <v>323</v>
      </c>
      <c r="D139" s="10" t="s">
        <v>324</v>
      </c>
      <c r="E139" s="11" t="s">
        <v>183</v>
      </c>
      <c r="F139" s="12">
        <v>312</v>
      </c>
      <c r="G139" s="13">
        <v>12</v>
      </c>
      <c r="H139" s="12">
        <f>F139/G139</f>
        <v>26</v>
      </c>
      <c r="I139" s="14"/>
      <c r="J139" s="14"/>
      <c r="K139" s="14"/>
      <c r="L139" s="14"/>
      <c r="M139" s="14"/>
      <c r="N139" s="14"/>
      <c r="O139" s="58">
        <v>5.35</v>
      </c>
      <c r="P139" s="58">
        <f>O139*H139</f>
        <v>139.1</v>
      </c>
      <c r="Q139" s="58">
        <v>5.65</v>
      </c>
      <c r="R139" s="58">
        <f>H139*Q139</f>
        <v>146.9</v>
      </c>
      <c r="S139" s="15">
        <v>0.57399999999999995</v>
      </c>
      <c r="T139" s="70">
        <f>H139*S139</f>
        <v>14.923999999999999</v>
      </c>
      <c r="U139" s="15">
        <f>T139*0.0283</f>
        <v>0.42234919999999998</v>
      </c>
      <c r="V139" s="16"/>
      <c r="W139" s="50" t="s">
        <v>42</v>
      </c>
    </row>
    <row r="140" spans="1:23" ht="24" customHeight="1">
      <c r="A140" s="9">
        <v>136</v>
      </c>
      <c r="B140" s="10">
        <v>306455</v>
      </c>
      <c r="C140" s="56" t="s">
        <v>328</v>
      </c>
      <c r="D140" s="10" t="s">
        <v>327</v>
      </c>
      <c r="E140" s="11" t="s">
        <v>53</v>
      </c>
      <c r="F140" s="12">
        <v>132</v>
      </c>
      <c r="G140" s="13">
        <v>12</v>
      </c>
      <c r="H140" s="12">
        <f>F140/G140</f>
        <v>11</v>
      </c>
      <c r="I140" s="14"/>
      <c r="J140" s="14"/>
      <c r="K140" s="14"/>
      <c r="L140" s="14"/>
      <c r="M140" s="14"/>
      <c r="N140" s="14"/>
      <c r="O140" s="58">
        <v>7.5</v>
      </c>
      <c r="P140" s="58">
        <f>O140*H140</f>
        <v>82.5</v>
      </c>
      <c r="Q140" s="58">
        <v>7.9</v>
      </c>
      <c r="R140" s="58">
        <f>H140*Q140</f>
        <v>86.9</v>
      </c>
      <c r="S140" s="15">
        <v>0.81599999999999995</v>
      </c>
      <c r="T140" s="70">
        <f>H140*S140</f>
        <v>8.9759999999999991</v>
      </c>
      <c r="U140" s="15">
        <f>T140*0.0283</f>
        <v>0.25402079999999994</v>
      </c>
      <c r="V140" s="16"/>
      <c r="W140" s="50" t="s">
        <v>42</v>
      </c>
    </row>
    <row r="141" spans="1:23" ht="24" customHeight="1">
      <c r="A141" s="9">
        <v>137</v>
      </c>
      <c r="B141" s="10">
        <v>287345</v>
      </c>
      <c r="C141" s="56" t="s">
        <v>325</v>
      </c>
      <c r="D141" s="10" t="s">
        <v>324</v>
      </c>
      <c r="E141" s="11" t="s">
        <v>185</v>
      </c>
      <c r="F141" s="12">
        <v>84</v>
      </c>
      <c r="G141" s="13">
        <v>12</v>
      </c>
      <c r="H141" s="12">
        <f>F141/G141</f>
        <v>7</v>
      </c>
      <c r="I141" s="14"/>
      <c r="J141" s="14"/>
      <c r="K141" s="14"/>
      <c r="L141" s="14"/>
      <c r="M141" s="14"/>
      <c r="N141" s="14"/>
      <c r="O141" s="58">
        <v>6.95</v>
      </c>
      <c r="P141" s="58">
        <f>O141*H141</f>
        <v>48.65</v>
      </c>
      <c r="Q141" s="58">
        <v>7.3</v>
      </c>
      <c r="R141" s="58">
        <f>H141*Q141</f>
        <v>51.1</v>
      </c>
      <c r="S141" s="15">
        <v>0.64900000000000002</v>
      </c>
      <c r="T141" s="70">
        <f>H141*S141</f>
        <v>4.5430000000000001</v>
      </c>
      <c r="U141" s="15">
        <f>T141*0.0283</f>
        <v>0.12856690000000001</v>
      </c>
      <c r="V141" s="16"/>
      <c r="W141" s="50" t="s">
        <v>42</v>
      </c>
    </row>
    <row r="142" spans="1:23" ht="24" customHeight="1">
      <c r="A142" s="9">
        <v>138</v>
      </c>
      <c r="B142" s="10">
        <v>306454</v>
      </c>
      <c r="C142" s="56" t="s">
        <v>329</v>
      </c>
      <c r="D142" s="10" t="s">
        <v>327</v>
      </c>
      <c r="E142" s="11" t="s">
        <v>55</v>
      </c>
      <c r="F142" s="12">
        <v>96</v>
      </c>
      <c r="G142" s="13">
        <v>12</v>
      </c>
      <c r="H142" s="12">
        <f>F142/G142</f>
        <v>8</v>
      </c>
      <c r="I142" s="14"/>
      <c r="J142" s="14"/>
      <c r="K142" s="14"/>
      <c r="L142" s="14"/>
      <c r="M142" s="14"/>
      <c r="N142" s="14"/>
      <c r="O142" s="58">
        <v>9.35</v>
      </c>
      <c r="P142" s="58">
        <f>O142*H142</f>
        <v>74.8</v>
      </c>
      <c r="Q142" s="58">
        <v>9.85</v>
      </c>
      <c r="R142" s="58">
        <f>H142*Q142</f>
        <v>78.8</v>
      </c>
      <c r="S142" s="15">
        <v>0.84799999999999998</v>
      </c>
      <c r="T142" s="70">
        <f>H142*S142</f>
        <v>6.7839999999999998</v>
      </c>
      <c r="U142" s="15">
        <f>T142*0.0283</f>
        <v>0.1919872</v>
      </c>
      <c r="V142" s="16"/>
      <c r="W142" s="50" t="s">
        <v>42</v>
      </c>
    </row>
    <row r="143" spans="1:23" ht="24" customHeight="1">
      <c r="A143" s="9">
        <v>139</v>
      </c>
      <c r="B143" s="10">
        <v>287304</v>
      </c>
      <c r="C143" s="56" t="s">
        <v>326</v>
      </c>
      <c r="D143" s="10" t="s">
        <v>327</v>
      </c>
      <c r="E143" s="11" t="s">
        <v>187</v>
      </c>
      <c r="F143" s="12">
        <v>36</v>
      </c>
      <c r="G143" s="13">
        <v>12</v>
      </c>
      <c r="H143" s="12">
        <f>F143/G143</f>
        <v>3</v>
      </c>
      <c r="I143" s="14"/>
      <c r="J143" s="14"/>
      <c r="K143" s="14"/>
      <c r="L143" s="14"/>
      <c r="M143" s="14"/>
      <c r="N143" s="14"/>
      <c r="O143" s="58">
        <v>8.4499999999999993</v>
      </c>
      <c r="P143" s="58">
        <f>O143*H143</f>
        <v>25.349999999999998</v>
      </c>
      <c r="Q143" s="58">
        <v>8.85</v>
      </c>
      <c r="R143" s="58">
        <f>H143*Q143</f>
        <v>26.549999999999997</v>
      </c>
      <c r="S143" s="15">
        <v>0.72299999999999998</v>
      </c>
      <c r="T143" s="70">
        <f>H143*S143</f>
        <v>2.169</v>
      </c>
      <c r="U143" s="15">
        <f>T143*0.0283</f>
        <v>6.1382699999999998E-2</v>
      </c>
      <c r="V143" s="16"/>
      <c r="W143" s="50" t="s">
        <v>42</v>
      </c>
    </row>
    <row r="144" spans="1:23" ht="24" customHeight="1">
      <c r="A144" s="9">
        <v>140</v>
      </c>
      <c r="B144" s="10">
        <v>287302</v>
      </c>
      <c r="C144" s="56" t="s">
        <v>330</v>
      </c>
      <c r="D144" s="10" t="s">
        <v>327</v>
      </c>
      <c r="E144" s="11" t="s">
        <v>72</v>
      </c>
      <c r="F144" s="12">
        <v>312</v>
      </c>
      <c r="G144" s="13">
        <v>12</v>
      </c>
      <c r="H144" s="12">
        <f>F144/G144</f>
        <v>26</v>
      </c>
      <c r="I144" s="14"/>
      <c r="J144" s="14"/>
      <c r="K144" s="14"/>
      <c r="L144" s="14"/>
      <c r="M144" s="14"/>
      <c r="N144" s="14"/>
      <c r="O144" s="58">
        <v>11.1</v>
      </c>
      <c r="P144" s="58">
        <f>O144*H144</f>
        <v>288.59999999999997</v>
      </c>
      <c r="Q144" s="58">
        <v>11.75</v>
      </c>
      <c r="R144" s="58">
        <f>H144*Q144</f>
        <v>305.5</v>
      </c>
      <c r="S144" s="15">
        <v>0.98199999999999998</v>
      </c>
      <c r="T144" s="70">
        <f>H144*S144</f>
        <v>25.532</v>
      </c>
      <c r="U144" s="15">
        <f>T144*0.0283</f>
        <v>0.72255559999999996</v>
      </c>
      <c r="V144" s="16"/>
      <c r="W144" s="50" t="s">
        <v>42</v>
      </c>
    </row>
    <row r="145" spans="1:23" ht="24" customHeight="1">
      <c r="A145" s="9">
        <v>141</v>
      </c>
      <c r="B145" s="10">
        <v>455884</v>
      </c>
      <c r="C145" s="56" t="s">
        <v>265</v>
      </c>
      <c r="D145" s="10" t="s">
        <v>266</v>
      </c>
      <c r="E145" s="11" t="s">
        <v>267</v>
      </c>
      <c r="F145" s="12">
        <v>200</v>
      </c>
      <c r="G145" s="13">
        <v>50</v>
      </c>
      <c r="H145" s="12">
        <f>F145/G145</f>
        <v>4</v>
      </c>
      <c r="I145" s="14"/>
      <c r="J145" s="14"/>
      <c r="K145" s="14"/>
      <c r="L145" s="14"/>
      <c r="M145" s="14"/>
      <c r="N145" s="14"/>
      <c r="O145" s="58">
        <v>3.45</v>
      </c>
      <c r="P145" s="58">
        <f>O145*H145</f>
        <v>13.8</v>
      </c>
      <c r="Q145" s="58">
        <v>3.7</v>
      </c>
      <c r="R145" s="58">
        <f>H145*Q145</f>
        <v>14.8</v>
      </c>
      <c r="S145" s="15">
        <v>0.19400000000000001</v>
      </c>
      <c r="T145" s="70">
        <f>H145*S145</f>
        <v>0.77600000000000002</v>
      </c>
      <c r="U145" s="15">
        <f>T145*0.0283</f>
        <v>2.1960799999999999E-2</v>
      </c>
      <c r="V145" s="16"/>
      <c r="W145" s="50" t="s">
        <v>203</v>
      </c>
    </row>
    <row r="146" spans="1:23" ht="24" customHeight="1">
      <c r="A146" s="9">
        <v>142</v>
      </c>
      <c r="B146" s="10">
        <v>390954</v>
      </c>
      <c r="C146" s="56" t="s">
        <v>299</v>
      </c>
      <c r="D146" s="10" t="s">
        <v>300</v>
      </c>
      <c r="E146" s="11"/>
      <c r="F146" s="12">
        <v>1780</v>
      </c>
      <c r="G146" s="13">
        <v>20</v>
      </c>
      <c r="H146" s="12">
        <f>F146/G146</f>
        <v>89</v>
      </c>
      <c r="I146" s="14"/>
      <c r="J146" s="14"/>
      <c r="K146" s="14"/>
      <c r="L146" s="14"/>
      <c r="M146" s="14"/>
      <c r="N146" s="14"/>
      <c r="O146" s="58">
        <v>1.35</v>
      </c>
      <c r="P146" s="58">
        <f>O146*H146</f>
        <v>120.15</v>
      </c>
      <c r="Q146" s="58">
        <v>1.59</v>
      </c>
      <c r="R146" s="58">
        <f>H146*Q146</f>
        <v>141.51000000000002</v>
      </c>
      <c r="S146" s="15">
        <v>0.17199999999999999</v>
      </c>
      <c r="T146" s="70">
        <f>H146*S146</f>
        <v>15.307999999999998</v>
      </c>
      <c r="U146" s="15">
        <f>T146*0.0283</f>
        <v>0.43321639999999995</v>
      </c>
      <c r="V146" s="16"/>
      <c r="W146" s="50" t="s">
        <v>42</v>
      </c>
    </row>
    <row r="147" spans="1:23" ht="24" customHeight="1">
      <c r="A147" s="9">
        <v>143</v>
      </c>
      <c r="B147" s="10">
        <v>552988</v>
      </c>
      <c r="C147" s="56" t="s">
        <v>341</v>
      </c>
      <c r="D147" s="10" t="s">
        <v>342</v>
      </c>
      <c r="E147" s="11" t="s">
        <v>343</v>
      </c>
      <c r="F147" s="12">
        <v>40</v>
      </c>
      <c r="G147" s="13">
        <v>8</v>
      </c>
      <c r="H147" s="12">
        <f>F147/G147</f>
        <v>5</v>
      </c>
      <c r="I147" s="14"/>
      <c r="J147" s="14"/>
      <c r="K147" s="14"/>
      <c r="L147" s="14"/>
      <c r="M147" s="14"/>
      <c r="N147" s="14"/>
      <c r="O147" s="58">
        <v>1.25</v>
      </c>
      <c r="P147" s="58">
        <f>O147*H147</f>
        <v>6.25</v>
      </c>
      <c r="Q147" s="58">
        <v>1.55</v>
      </c>
      <c r="R147" s="58">
        <f>H147*Q147</f>
        <v>7.75</v>
      </c>
      <c r="S147" s="15">
        <v>0.16500000000000001</v>
      </c>
      <c r="T147" s="70">
        <f>H147*S147</f>
        <v>0.82500000000000007</v>
      </c>
      <c r="U147" s="15">
        <f>T147*0.0283</f>
        <v>2.33475E-2</v>
      </c>
      <c r="V147" s="16"/>
      <c r="W147" s="50" t="s">
        <v>42</v>
      </c>
    </row>
    <row r="148" spans="1:23" ht="24" customHeight="1">
      <c r="A148" s="9">
        <v>144</v>
      </c>
      <c r="B148" s="10">
        <v>586368</v>
      </c>
      <c r="C148" s="56" t="s">
        <v>58</v>
      </c>
      <c r="D148" s="10" t="s">
        <v>59</v>
      </c>
      <c r="E148" s="11" t="s">
        <v>53</v>
      </c>
      <c r="F148" s="12">
        <v>10</v>
      </c>
      <c r="G148" s="13">
        <v>2</v>
      </c>
      <c r="H148" s="12">
        <f>F148/G148</f>
        <v>5</v>
      </c>
      <c r="I148" s="14"/>
      <c r="J148" s="14"/>
      <c r="K148" s="14"/>
      <c r="L148" s="14"/>
      <c r="M148" s="14"/>
      <c r="N148" s="14"/>
      <c r="O148" s="58">
        <v>6.58</v>
      </c>
      <c r="P148" s="58">
        <f>O148*H148</f>
        <v>32.9</v>
      </c>
      <c r="Q148" s="58">
        <v>7.1599999999999993</v>
      </c>
      <c r="R148" s="58">
        <f>H148*Q148</f>
        <v>35.799999999999997</v>
      </c>
      <c r="S148" s="15">
        <v>0.97799999999999998</v>
      </c>
      <c r="T148" s="70">
        <f>H148*S148</f>
        <v>4.8899999999999997</v>
      </c>
      <c r="U148" s="15">
        <f>T148*0.0283</f>
        <v>0.13838699999999998</v>
      </c>
      <c r="V148" s="16"/>
      <c r="W148" s="50" t="s">
        <v>42</v>
      </c>
    </row>
    <row r="149" spans="1:23" ht="24" customHeight="1">
      <c r="A149" s="9">
        <v>145</v>
      </c>
      <c r="B149" s="10">
        <v>393341</v>
      </c>
      <c r="C149" s="56" t="s">
        <v>188</v>
      </c>
      <c r="D149" s="10" t="s">
        <v>162</v>
      </c>
      <c r="E149" s="11" t="s">
        <v>189</v>
      </c>
      <c r="F149" s="12">
        <v>280</v>
      </c>
      <c r="G149" s="13">
        <v>4</v>
      </c>
      <c r="H149" s="12">
        <f>F149/G149</f>
        <v>70</v>
      </c>
      <c r="I149" s="14"/>
      <c r="J149" s="14"/>
      <c r="K149" s="14"/>
      <c r="L149" s="14"/>
      <c r="M149" s="14"/>
      <c r="N149" s="14"/>
      <c r="O149" s="58">
        <v>15.55</v>
      </c>
      <c r="P149" s="58">
        <f>O149*H149</f>
        <v>1088.5</v>
      </c>
      <c r="Q149" s="58">
        <v>16.71</v>
      </c>
      <c r="R149" s="58">
        <f>H149*Q149</f>
        <v>1169.7</v>
      </c>
      <c r="S149" s="15">
        <v>2.7570000000000001</v>
      </c>
      <c r="T149" s="70">
        <f>H149*S149</f>
        <v>192.99</v>
      </c>
      <c r="U149" s="15">
        <f>T149*0.0283</f>
        <v>5.4616170000000004</v>
      </c>
      <c r="V149" s="16"/>
      <c r="W149" s="50" t="s">
        <v>42</v>
      </c>
    </row>
    <row r="150" spans="1:23" ht="24" customHeight="1">
      <c r="A150" s="9">
        <v>146</v>
      </c>
      <c r="B150" s="10">
        <v>54316</v>
      </c>
      <c r="C150" s="56" t="s">
        <v>167</v>
      </c>
      <c r="D150" s="10" t="s">
        <v>162</v>
      </c>
      <c r="E150" s="11" t="s">
        <v>57</v>
      </c>
      <c r="F150" s="12">
        <v>460</v>
      </c>
      <c r="G150" s="13">
        <v>4</v>
      </c>
      <c r="H150" s="12">
        <f>F150/G150</f>
        <v>115</v>
      </c>
      <c r="I150" s="14"/>
      <c r="J150" s="14"/>
      <c r="K150" s="14"/>
      <c r="L150" s="14"/>
      <c r="M150" s="14"/>
      <c r="N150" s="14"/>
      <c r="O150" s="58">
        <v>18.8</v>
      </c>
      <c r="P150" s="58">
        <f>O150*H150</f>
        <v>2162</v>
      </c>
      <c r="Q150" s="58">
        <v>20.170000000000002</v>
      </c>
      <c r="R150" s="58">
        <f>H150*Q150</f>
        <v>2319.5500000000002</v>
      </c>
      <c r="S150" s="15">
        <v>3.5090000000000003</v>
      </c>
      <c r="T150" s="70">
        <f>H150*S150</f>
        <v>403.53500000000003</v>
      </c>
      <c r="U150" s="15">
        <f>T150*0.0283</f>
        <v>11.420040500000001</v>
      </c>
      <c r="V150" s="16"/>
      <c r="W150" s="50" t="s">
        <v>42</v>
      </c>
    </row>
    <row r="151" spans="1:23" ht="24" customHeight="1">
      <c r="A151" s="9">
        <v>147</v>
      </c>
      <c r="B151" s="10">
        <v>54493</v>
      </c>
      <c r="C151" s="56" t="s">
        <v>194</v>
      </c>
      <c r="D151" s="10" t="s">
        <v>191</v>
      </c>
      <c r="E151" s="11" t="s">
        <v>57</v>
      </c>
      <c r="F151" s="12">
        <v>12</v>
      </c>
      <c r="G151" s="13">
        <v>2</v>
      </c>
      <c r="H151" s="12">
        <f>F151/G151</f>
        <v>6</v>
      </c>
      <c r="I151" s="14"/>
      <c r="J151" s="14"/>
      <c r="K151" s="14"/>
      <c r="L151" s="14"/>
      <c r="M151" s="14"/>
      <c r="N151" s="14"/>
      <c r="O151" s="58">
        <v>11.05</v>
      </c>
      <c r="P151" s="58">
        <f>O151*H151</f>
        <v>66.300000000000011</v>
      </c>
      <c r="Q151" s="58">
        <v>12.26</v>
      </c>
      <c r="R151" s="58">
        <f>H151*Q151</f>
        <v>73.56</v>
      </c>
      <c r="S151" s="15">
        <v>1.8280000000000001</v>
      </c>
      <c r="T151" s="70">
        <f>H151*S151</f>
        <v>10.968</v>
      </c>
      <c r="U151" s="15">
        <f>T151*0.0283</f>
        <v>0.31039439999999996</v>
      </c>
      <c r="V151" s="16"/>
      <c r="W151" s="50" t="s">
        <v>42</v>
      </c>
    </row>
    <row r="152" spans="1:23" ht="24" customHeight="1">
      <c r="A152" s="9">
        <v>148</v>
      </c>
      <c r="B152" s="10">
        <v>54399</v>
      </c>
      <c r="C152" s="56" t="s">
        <v>174</v>
      </c>
      <c r="D152" s="10" t="s">
        <v>162</v>
      </c>
      <c r="E152" s="11" t="s">
        <v>175</v>
      </c>
      <c r="F152" s="12">
        <v>134</v>
      </c>
      <c r="G152" s="13">
        <v>2</v>
      </c>
      <c r="H152" s="12">
        <f>F152/G152</f>
        <v>67</v>
      </c>
      <c r="I152" s="14"/>
      <c r="J152" s="14"/>
      <c r="K152" s="14"/>
      <c r="L152" s="14"/>
      <c r="M152" s="14"/>
      <c r="N152" s="14"/>
      <c r="O152" s="58">
        <v>14.7</v>
      </c>
      <c r="P152" s="58">
        <f>O152*H152</f>
        <v>984.9</v>
      </c>
      <c r="Q152" s="58">
        <v>16.07</v>
      </c>
      <c r="R152" s="58">
        <f>H152*Q152</f>
        <v>1076.69</v>
      </c>
      <c r="S152" s="15">
        <v>2.41</v>
      </c>
      <c r="T152" s="70">
        <f>H152*S152</f>
        <v>161.47</v>
      </c>
      <c r="U152" s="15">
        <f>T152*0.0283</f>
        <v>4.5696009999999996</v>
      </c>
      <c r="V152" s="16"/>
      <c r="W152" s="50" t="s">
        <v>42</v>
      </c>
    </row>
    <row r="153" spans="1:23" ht="24" customHeight="1">
      <c r="A153" s="9">
        <v>149</v>
      </c>
      <c r="B153" s="10">
        <v>54317</v>
      </c>
      <c r="C153" s="56" t="s">
        <v>168</v>
      </c>
      <c r="D153" s="10" t="s">
        <v>162</v>
      </c>
      <c r="E153" s="11" t="s">
        <v>169</v>
      </c>
      <c r="F153" s="12">
        <v>120</v>
      </c>
      <c r="G153" s="13">
        <v>2</v>
      </c>
      <c r="H153" s="12">
        <f>F153/G153</f>
        <v>60</v>
      </c>
      <c r="I153" s="14"/>
      <c r="J153" s="14"/>
      <c r="K153" s="14"/>
      <c r="L153" s="14"/>
      <c r="M153" s="14"/>
      <c r="N153" s="14"/>
      <c r="O153" s="58">
        <v>14.25</v>
      </c>
      <c r="P153" s="58">
        <f>O153*H153</f>
        <v>855</v>
      </c>
      <c r="Q153" s="58">
        <v>15.58</v>
      </c>
      <c r="R153" s="58">
        <f>H153*Q153</f>
        <v>934.8</v>
      </c>
      <c r="S153" s="15">
        <v>2.2839999999999998</v>
      </c>
      <c r="T153" s="70">
        <f>H153*S153</f>
        <v>137.04</v>
      </c>
      <c r="U153" s="15">
        <f>T153*0.0283</f>
        <v>3.8782319999999997</v>
      </c>
      <c r="V153" s="16"/>
      <c r="W153" s="50" t="s">
        <v>42</v>
      </c>
    </row>
    <row r="154" spans="1:23" ht="24" customHeight="1">
      <c r="A154" s="9">
        <v>150</v>
      </c>
      <c r="B154" s="10">
        <v>54402</v>
      </c>
      <c r="C154" s="56" t="s">
        <v>176</v>
      </c>
      <c r="D154" s="10" t="s">
        <v>162</v>
      </c>
      <c r="E154" s="11" t="s">
        <v>177</v>
      </c>
      <c r="F154" s="12">
        <v>78</v>
      </c>
      <c r="G154" s="13">
        <v>2</v>
      </c>
      <c r="H154" s="12">
        <f>F154/G154</f>
        <v>39</v>
      </c>
      <c r="I154" s="14"/>
      <c r="J154" s="14"/>
      <c r="K154" s="14"/>
      <c r="L154" s="14"/>
      <c r="M154" s="14"/>
      <c r="N154" s="14"/>
      <c r="O154" s="58">
        <v>20.2</v>
      </c>
      <c r="P154" s="58">
        <f>O154*H154</f>
        <v>787.8</v>
      </c>
      <c r="Q154" s="58">
        <v>21.85</v>
      </c>
      <c r="R154" s="58">
        <f>H154*Q154</f>
        <v>852.15000000000009</v>
      </c>
      <c r="S154" s="15">
        <v>3.0140000000000002</v>
      </c>
      <c r="T154" s="70">
        <f>H154*S154</f>
        <v>117.54600000000001</v>
      </c>
      <c r="U154" s="15">
        <f>T154*0.0283</f>
        <v>3.3265517999999998</v>
      </c>
      <c r="V154" s="16"/>
      <c r="W154" s="50" t="s">
        <v>42</v>
      </c>
    </row>
    <row r="155" spans="1:23" ht="24" customHeight="1">
      <c r="A155" s="9">
        <v>151</v>
      </c>
      <c r="B155" s="10">
        <v>54318</v>
      </c>
      <c r="C155" s="56" t="s">
        <v>170</v>
      </c>
      <c r="D155" s="10" t="s">
        <v>162</v>
      </c>
      <c r="E155" s="11" t="s">
        <v>171</v>
      </c>
      <c r="F155" s="12">
        <v>86</v>
      </c>
      <c r="G155" s="13">
        <v>2</v>
      </c>
      <c r="H155" s="12">
        <f>F155/G155</f>
        <v>43</v>
      </c>
      <c r="I155" s="14"/>
      <c r="J155" s="14"/>
      <c r="K155" s="14"/>
      <c r="L155" s="14"/>
      <c r="M155" s="14"/>
      <c r="N155" s="14"/>
      <c r="O155" s="58">
        <v>16.88</v>
      </c>
      <c r="P155" s="58">
        <f>O155*H155</f>
        <v>725.83999999999992</v>
      </c>
      <c r="Q155" s="58">
        <v>18.41</v>
      </c>
      <c r="R155" s="58">
        <f>H155*Q155</f>
        <v>791.63</v>
      </c>
      <c r="S155" s="15">
        <v>2.7399999999999998</v>
      </c>
      <c r="T155" s="70">
        <f>H155*S155</f>
        <v>117.82</v>
      </c>
      <c r="U155" s="15">
        <f>T155*0.0283</f>
        <v>3.3343059999999998</v>
      </c>
      <c r="V155" s="16"/>
      <c r="W155" s="50" t="s">
        <v>42</v>
      </c>
    </row>
    <row r="156" spans="1:23" ht="24" customHeight="1">
      <c r="A156" s="9">
        <v>152</v>
      </c>
      <c r="B156" s="10">
        <v>54405</v>
      </c>
      <c r="C156" s="56" t="s">
        <v>178</v>
      </c>
      <c r="D156" s="10" t="s">
        <v>162</v>
      </c>
      <c r="E156" s="11" t="s">
        <v>179</v>
      </c>
      <c r="F156" s="12">
        <v>56</v>
      </c>
      <c r="G156" s="13">
        <v>2</v>
      </c>
      <c r="H156" s="12">
        <f>F156/G156</f>
        <v>28</v>
      </c>
      <c r="I156" s="14"/>
      <c r="J156" s="14"/>
      <c r="K156" s="14"/>
      <c r="L156" s="14"/>
      <c r="M156" s="14"/>
      <c r="N156" s="14"/>
      <c r="O156" s="58">
        <v>24</v>
      </c>
      <c r="P156" s="58">
        <f>O156*H156</f>
        <v>672</v>
      </c>
      <c r="Q156" s="58">
        <v>25.95</v>
      </c>
      <c r="R156" s="58">
        <f>H156*Q156</f>
        <v>726.6</v>
      </c>
      <c r="S156" s="15">
        <v>3.6159999999999997</v>
      </c>
      <c r="T156" s="70">
        <f>H156*S156</f>
        <v>101.24799999999999</v>
      </c>
      <c r="U156" s="15">
        <f>T156*0.0283</f>
        <v>2.8653183999999996</v>
      </c>
      <c r="V156" s="16"/>
      <c r="W156" s="50" t="s">
        <v>42</v>
      </c>
    </row>
    <row r="157" spans="1:23" ht="24" customHeight="1">
      <c r="A157" s="9">
        <v>153</v>
      </c>
      <c r="B157" s="10">
        <v>54413</v>
      </c>
      <c r="C157" s="56" t="s">
        <v>180</v>
      </c>
      <c r="D157" s="10" t="s">
        <v>162</v>
      </c>
      <c r="E157" s="11" t="s">
        <v>181</v>
      </c>
      <c r="F157" s="12">
        <v>18</v>
      </c>
      <c r="G157" s="13">
        <v>2</v>
      </c>
      <c r="H157" s="12">
        <f>F157/G157</f>
        <v>9</v>
      </c>
      <c r="I157" s="14"/>
      <c r="J157" s="14"/>
      <c r="K157" s="14"/>
      <c r="L157" s="14"/>
      <c r="M157" s="14"/>
      <c r="N157" s="14"/>
      <c r="O157" s="58">
        <v>32.35</v>
      </c>
      <c r="P157" s="58">
        <f>O157*H157</f>
        <v>291.15000000000003</v>
      </c>
      <c r="Q157" s="58">
        <v>35.08</v>
      </c>
      <c r="R157" s="58">
        <f>H157*Q157</f>
        <v>315.71999999999997</v>
      </c>
      <c r="S157" s="15">
        <v>5.3310000000000004</v>
      </c>
      <c r="T157" s="70">
        <f>H157*S157</f>
        <v>47.979000000000006</v>
      </c>
      <c r="U157" s="15">
        <f>T157*0.0283</f>
        <v>1.3578057000000001</v>
      </c>
      <c r="V157" s="16"/>
      <c r="W157" s="50" t="s">
        <v>42</v>
      </c>
    </row>
    <row r="158" spans="1:23" ht="24" customHeight="1">
      <c r="A158" s="9">
        <v>154</v>
      </c>
      <c r="B158" s="10">
        <v>54312</v>
      </c>
      <c r="C158" s="56" t="s">
        <v>161</v>
      </c>
      <c r="D158" s="10" t="s">
        <v>162</v>
      </c>
      <c r="E158" s="11" t="s">
        <v>163</v>
      </c>
      <c r="F158" s="12">
        <v>96</v>
      </c>
      <c r="G158" s="13">
        <v>4</v>
      </c>
      <c r="H158" s="12">
        <f>F158/G158</f>
        <v>24</v>
      </c>
      <c r="I158" s="14"/>
      <c r="J158" s="14"/>
      <c r="K158" s="14"/>
      <c r="L158" s="14"/>
      <c r="M158" s="14"/>
      <c r="N158" s="14"/>
      <c r="O158" s="58">
        <v>7.9</v>
      </c>
      <c r="P158" s="58">
        <f>O158*H158</f>
        <v>189.60000000000002</v>
      </c>
      <c r="Q158" s="58">
        <v>8.629999999999999</v>
      </c>
      <c r="R158" s="58">
        <f>H158*Q158</f>
        <v>207.11999999999998</v>
      </c>
      <c r="S158" s="15">
        <v>1.3980000000000001</v>
      </c>
      <c r="T158" s="70">
        <f>H158*S158</f>
        <v>33.552000000000007</v>
      </c>
      <c r="U158" s="15">
        <f>T158*0.0283</f>
        <v>0.94952160000000019</v>
      </c>
      <c r="V158" s="16"/>
      <c r="W158" s="50" t="s">
        <v>42</v>
      </c>
    </row>
    <row r="159" spans="1:23" ht="24" customHeight="1">
      <c r="A159" s="9">
        <v>155</v>
      </c>
      <c r="B159" s="10">
        <v>393334</v>
      </c>
      <c r="C159" s="56" t="s">
        <v>182</v>
      </c>
      <c r="D159" s="10" t="s">
        <v>162</v>
      </c>
      <c r="E159" s="11" t="s">
        <v>183</v>
      </c>
      <c r="F159" s="12">
        <v>156</v>
      </c>
      <c r="G159" s="13">
        <v>4</v>
      </c>
      <c r="H159" s="12">
        <f>F159/G159</f>
        <v>39</v>
      </c>
      <c r="I159" s="14"/>
      <c r="J159" s="14"/>
      <c r="K159" s="14"/>
      <c r="L159" s="14"/>
      <c r="M159" s="14"/>
      <c r="N159" s="14"/>
      <c r="O159" s="58">
        <v>8.8000000000000007</v>
      </c>
      <c r="P159" s="58">
        <f>O159*H159</f>
        <v>343.20000000000005</v>
      </c>
      <c r="Q159" s="58">
        <v>9.5299999999999994</v>
      </c>
      <c r="R159" s="58">
        <f>H159*Q159</f>
        <v>371.66999999999996</v>
      </c>
      <c r="S159" s="15">
        <v>1.46</v>
      </c>
      <c r="T159" s="70">
        <f>H159*S159</f>
        <v>56.94</v>
      </c>
      <c r="U159" s="15">
        <f>T159*0.0283</f>
        <v>1.6114019999999998</v>
      </c>
      <c r="V159" s="16"/>
      <c r="W159" s="50" t="s">
        <v>42</v>
      </c>
    </row>
    <row r="160" spans="1:23" ht="24" customHeight="1">
      <c r="A160" s="9">
        <v>156</v>
      </c>
      <c r="B160" s="10">
        <v>54313</v>
      </c>
      <c r="C160" s="56" t="s">
        <v>164</v>
      </c>
      <c r="D160" s="10" t="s">
        <v>162</v>
      </c>
      <c r="E160" s="11" t="s">
        <v>53</v>
      </c>
      <c r="F160" s="12">
        <v>428</v>
      </c>
      <c r="G160" s="13">
        <v>4</v>
      </c>
      <c r="H160" s="12">
        <f>F160/G160</f>
        <v>107</v>
      </c>
      <c r="I160" s="14"/>
      <c r="J160" s="14"/>
      <c r="K160" s="14"/>
      <c r="L160" s="14"/>
      <c r="M160" s="14"/>
      <c r="N160" s="14"/>
      <c r="O160" s="58">
        <v>9.85</v>
      </c>
      <c r="P160" s="58">
        <f>O160*H160</f>
        <v>1053.95</v>
      </c>
      <c r="Q160" s="58">
        <v>10.7</v>
      </c>
      <c r="R160" s="58">
        <f>H160*Q160</f>
        <v>1144.8999999999999</v>
      </c>
      <c r="S160" s="15">
        <v>1.85</v>
      </c>
      <c r="T160" s="70">
        <f>H160*S160</f>
        <v>197.95000000000002</v>
      </c>
      <c r="U160" s="15">
        <f>T160*0.0283</f>
        <v>5.601985</v>
      </c>
      <c r="V160" s="16"/>
      <c r="W160" s="50" t="s">
        <v>42</v>
      </c>
    </row>
    <row r="161" spans="1:23" ht="24" customHeight="1">
      <c r="A161" s="9">
        <v>157</v>
      </c>
      <c r="B161" s="10">
        <v>54487</v>
      </c>
      <c r="C161" s="56" t="s">
        <v>190</v>
      </c>
      <c r="D161" s="10" t="s">
        <v>191</v>
      </c>
      <c r="E161" s="11" t="s">
        <v>53</v>
      </c>
      <c r="F161" s="12">
        <v>24</v>
      </c>
      <c r="G161" s="13">
        <v>2</v>
      </c>
      <c r="H161" s="12">
        <f>F161/G161</f>
        <v>12</v>
      </c>
      <c r="I161" s="14"/>
      <c r="J161" s="14"/>
      <c r="K161" s="14"/>
      <c r="L161" s="14"/>
      <c r="M161" s="14"/>
      <c r="N161" s="14"/>
      <c r="O161" s="58">
        <v>7.33</v>
      </c>
      <c r="P161" s="58">
        <f>O161*H161</f>
        <v>87.960000000000008</v>
      </c>
      <c r="Q161" s="58">
        <v>8.1</v>
      </c>
      <c r="R161" s="58">
        <f>H161*Q161</f>
        <v>97.199999999999989</v>
      </c>
      <c r="S161" s="15">
        <v>0.97799999999999998</v>
      </c>
      <c r="T161" s="70">
        <f>H161*S161</f>
        <v>11.736000000000001</v>
      </c>
      <c r="U161" s="15">
        <f>T161*0.0283</f>
        <v>0.3321288</v>
      </c>
      <c r="V161" s="16"/>
      <c r="W161" s="50" t="s">
        <v>42</v>
      </c>
    </row>
    <row r="162" spans="1:23" ht="24" customHeight="1">
      <c r="A162" s="9">
        <v>158</v>
      </c>
      <c r="B162" s="10">
        <v>393338</v>
      </c>
      <c r="C162" s="56" t="s">
        <v>184</v>
      </c>
      <c r="D162" s="10" t="s">
        <v>162</v>
      </c>
      <c r="E162" s="11" t="s">
        <v>185</v>
      </c>
      <c r="F162" s="12">
        <v>180</v>
      </c>
      <c r="G162" s="13">
        <v>4</v>
      </c>
      <c r="H162" s="12">
        <f>F162/G162</f>
        <v>45</v>
      </c>
      <c r="I162" s="14"/>
      <c r="J162" s="14"/>
      <c r="K162" s="14"/>
      <c r="L162" s="14"/>
      <c r="M162" s="14"/>
      <c r="N162" s="14"/>
      <c r="O162" s="58">
        <v>10.5</v>
      </c>
      <c r="P162" s="58">
        <f>O162*H162</f>
        <v>472.5</v>
      </c>
      <c r="Q162" s="58">
        <v>11.35</v>
      </c>
      <c r="R162" s="58">
        <f>H162*Q162</f>
        <v>510.75</v>
      </c>
      <c r="S162" s="15">
        <v>1.8170000000000002</v>
      </c>
      <c r="T162" s="70">
        <f>H162*S162</f>
        <v>81.765000000000015</v>
      </c>
      <c r="U162" s="15">
        <f>T162*0.0283</f>
        <v>2.3139495000000001</v>
      </c>
      <c r="V162" s="16"/>
      <c r="W162" s="50" t="s">
        <v>42</v>
      </c>
    </row>
    <row r="163" spans="1:23" ht="24" customHeight="1">
      <c r="A163" s="9">
        <v>159</v>
      </c>
      <c r="B163" s="10">
        <v>54314</v>
      </c>
      <c r="C163" s="56" t="s">
        <v>165</v>
      </c>
      <c r="D163" s="10" t="s">
        <v>162</v>
      </c>
      <c r="E163" s="11" t="s">
        <v>55</v>
      </c>
      <c r="F163" s="12">
        <v>404</v>
      </c>
      <c r="G163" s="13">
        <v>4</v>
      </c>
      <c r="H163" s="12">
        <f>F163/G163</f>
        <v>101</v>
      </c>
      <c r="I163" s="14"/>
      <c r="J163" s="14"/>
      <c r="K163" s="14"/>
      <c r="L163" s="14"/>
      <c r="M163" s="14"/>
      <c r="N163" s="14"/>
      <c r="O163" s="58">
        <v>11.75</v>
      </c>
      <c r="P163" s="58">
        <f>O163*H163</f>
        <v>1186.75</v>
      </c>
      <c r="Q163" s="58">
        <v>12.75</v>
      </c>
      <c r="R163" s="58">
        <f>H163*Q163</f>
        <v>1287.75</v>
      </c>
      <c r="S163" s="15">
        <v>2.3050000000000002</v>
      </c>
      <c r="T163" s="70">
        <f>H163*S163</f>
        <v>232.80500000000001</v>
      </c>
      <c r="U163" s="15">
        <f>T163*0.0283</f>
        <v>6.5883814999999997</v>
      </c>
      <c r="V163" s="16"/>
      <c r="W163" s="50" t="s">
        <v>42</v>
      </c>
    </row>
    <row r="164" spans="1:23" ht="24" customHeight="1">
      <c r="A164" s="9">
        <v>160</v>
      </c>
      <c r="B164" s="10">
        <v>54489</v>
      </c>
      <c r="C164" s="56" t="s">
        <v>192</v>
      </c>
      <c r="D164" s="10" t="s">
        <v>191</v>
      </c>
      <c r="E164" s="11" t="s">
        <v>55</v>
      </c>
      <c r="F164" s="12">
        <v>12</v>
      </c>
      <c r="G164" s="13">
        <v>2</v>
      </c>
      <c r="H164" s="12">
        <f>F164/G164</f>
        <v>6</v>
      </c>
      <c r="I164" s="14"/>
      <c r="J164" s="14"/>
      <c r="K164" s="14"/>
      <c r="L164" s="14"/>
      <c r="M164" s="14"/>
      <c r="N164" s="14"/>
      <c r="O164" s="58">
        <v>8.25</v>
      </c>
      <c r="P164" s="58">
        <f>O164*H164</f>
        <v>49.5</v>
      </c>
      <c r="Q164" s="58">
        <v>9.129999999999999</v>
      </c>
      <c r="R164" s="58">
        <f>H164*Q164</f>
        <v>54.779999999999994</v>
      </c>
      <c r="S164" s="15">
        <v>1.2189999999999999</v>
      </c>
      <c r="T164" s="70">
        <f>H164*S164</f>
        <v>7.3139999999999992</v>
      </c>
      <c r="U164" s="15">
        <f>T164*0.0283</f>
        <v>0.20698619999999998</v>
      </c>
      <c r="V164" s="16"/>
      <c r="W164" s="50" t="s">
        <v>42</v>
      </c>
    </row>
    <row r="165" spans="1:23" ht="24" customHeight="1">
      <c r="A165" s="9">
        <v>161</v>
      </c>
      <c r="B165" s="10">
        <v>393339</v>
      </c>
      <c r="C165" s="56" t="s">
        <v>186</v>
      </c>
      <c r="D165" s="10" t="s">
        <v>162</v>
      </c>
      <c r="E165" s="11" t="s">
        <v>187</v>
      </c>
      <c r="F165" s="12">
        <v>272</v>
      </c>
      <c r="G165" s="13">
        <v>4</v>
      </c>
      <c r="H165" s="12">
        <f>F165/G165</f>
        <v>68</v>
      </c>
      <c r="I165" s="14"/>
      <c r="J165" s="14"/>
      <c r="K165" s="14"/>
      <c r="L165" s="14"/>
      <c r="M165" s="14"/>
      <c r="N165" s="14"/>
      <c r="O165" s="58">
        <v>12.15</v>
      </c>
      <c r="P165" s="58">
        <f>O165*H165</f>
        <v>826.2</v>
      </c>
      <c r="Q165" s="58">
        <v>13.1</v>
      </c>
      <c r="R165" s="58">
        <f>H165*Q165</f>
        <v>890.8</v>
      </c>
      <c r="S165" s="15">
        <v>2.16</v>
      </c>
      <c r="T165" s="70">
        <f>H165*S165</f>
        <v>146.88</v>
      </c>
      <c r="U165" s="15">
        <f>T165*0.0283</f>
        <v>4.1567039999999995</v>
      </c>
      <c r="V165" s="16"/>
      <c r="W165" s="50" t="s">
        <v>42</v>
      </c>
    </row>
    <row r="166" spans="1:23" ht="24" customHeight="1">
      <c r="A166" s="9">
        <v>162</v>
      </c>
      <c r="B166" s="10">
        <v>54315</v>
      </c>
      <c r="C166" s="56" t="s">
        <v>166</v>
      </c>
      <c r="D166" s="10" t="s">
        <v>162</v>
      </c>
      <c r="E166" s="11" t="s">
        <v>72</v>
      </c>
      <c r="F166" s="12">
        <v>660</v>
      </c>
      <c r="G166" s="13">
        <v>4</v>
      </c>
      <c r="H166" s="12">
        <f>F166/G166</f>
        <v>165</v>
      </c>
      <c r="I166" s="14"/>
      <c r="J166" s="14"/>
      <c r="K166" s="14"/>
      <c r="L166" s="14"/>
      <c r="M166" s="14"/>
      <c r="N166" s="14"/>
      <c r="O166" s="58">
        <v>13.6</v>
      </c>
      <c r="P166" s="58">
        <f>O166*H166</f>
        <v>2244</v>
      </c>
      <c r="Q166" s="58">
        <v>14.7</v>
      </c>
      <c r="R166" s="58">
        <f>H166*Q166</f>
        <v>2425.5</v>
      </c>
      <c r="S166" s="15">
        <v>2.7359999999999998</v>
      </c>
      <c r="T166" s="70">
        <f>H166*S166</f>
        <v>451.43999999999994</v>
      </c>
      <c r="U166" s="15">
        <f>T166*0.0283</f>
        <v>12.775751999999997</v>
      </c>
      <c r="V166" s="16"/>
      <c r="W166" s="50" t="s">
        <v>42</v>
      </c>
    </row>
    <row r="167" spans="1:23" ht="24" customHeight="1">
      <c r="A167" s="9">
        <v>163</v>
      </c>
      <c r="B167" s="10">
        <v>54491</v>
      </c>
      <c r="C167" s="56" t="s">
        <v>193</v>
      </c>
      <c r="D167" s="10" t="s">
        <v>191</v>
      </c>
      <c r="E167" s="11" t="s">
        <v>72</v>
      </c>
      <c r="F167" s="12">
        <v>12</v>
      </c>
      <c r="G167" s="13">
        <v>2</v>
      </c>
      <c r="H167" s="12">
        <f>F167/G167</f>
        <v>6</v>
      </c>
      <c r="I167" s="14"/>
      <c r="J167" s="14"/>
      <c r="K167" s="14"/>
      <c r="L167" s="14"/>
      <c r="M167" s="14"/>
      <c r="N167" s="14"/>
      <c r="O167" s="58">
        <v>9.129999999999999</v>
      </c>
      <c r="P167" s="58">
        <f>O167*H167</f>
        <v>54.779999999999994</v>
      </c>
      <c r="Q167" s="58">
        <v>10.130000000000001</v>
      </c>
      <c r="R167" s="58">
        <f>H167*Q167</f>
        <v>60.78</v>
      </c>
      <c r="S167" s="15">
        <v>1.448</v>
      </c>
      <c r="T167" s="70">
        <f>H167*S167</f>
        <v>8.6879999999999988</v>
      </c>
      <c r="U167" s="15">
        <f>T167*0.0283</f>
        <v>0.24587039999999996</v>
      </c>
      <c r="V167" s="16"/>
      <c r="W167" s="50" t="s">
        <v>42</v>
      </c>
    </row>
    <row r="168" spans="1:23" ht="24" customHeight="1">
      <c r="A168" s="9">
        <v>164</v>
      </c>
      <c r="B168" s="10">
        <v>54319</v>
      </c>
      <c r="C168" s="56" t="s">
        <v>172</v>
      </c>
      <c r="D168" s="10" t="s">
        <v>162</v>
      </c>
      <c r="E168" s="11" t="s">
        <v>173</v>
      </c>
      <c r="F168" s="12">
        <v>84</v>
      </c>
      <c r="G168" s="13">
        <v>2</v>
      </c>
      <c r="H168" s="12">
        <f>F168/G168</f>
        <v>42</v>
      </c>
      <c r="I168" s="14"/>
      <c r="J168" s="14"/>
      <c r="K168" s="14"/>
      <c r="L168" s="14"/>
      <c r="M168" s="14"/>
      <c r="N168" s="14"/>
      <c r="O168" s="58">
        <v>11.4</v>
      </c>
      <c r="P168" s="58">
        <f>O168*H168</f>
        <v>478.8</v>
      </c>
      <c r="Q168" s="58">
        <v>12.47</v>
      </c>
      <c r="R168" s="58">
        <f>H168*Q168</f>
        <v>523.74</v>
      </c>
      <c r="S168" s="15">
        <v>1.9010000000000002</v>
      </c>
      <c r="T168" s="70">
        <f>H168*S168</f>
        <v>79.842000000000013</v>
      </c>
      <c r="U168" s="15">
        <f>T168*0.0283</f>
        <v>2.2595286000000003</v>
      </c>
      <c r="V168" s="16"/>
      <c r="W168" s="50" t="s">
        <v>42</v>
      </c>
    </row>
    <row r="169" spans="1:23" ht="24" customHeight="1">
      <c r="A169" s="9">
        <v>165</v>
      </c>
      <c r="B169" s="10">
        <v>54516</v>
      </c>
      <c r="C169" s="56" t="s">
        <v>198</v>
      </c>
      <c r="D169" s="10" t="s">
        <v>196</v>
      </c>
      <c r="E169" s="11" t="s">
        <v>199</v>
      </c>
      <c r="F169" s="12">
        <v>16</v>
      </c>
      <c r="G169" s="13">
        <v>4</v>
      </c>
      <c r="H169" s="12">
        <f>F169/G169</f>
        <v>4</v>
      </c>
      <c r="I169" s="14"/>
      <c r="J169" s="14"/>
      <c r="K169" s="14"/>
      <c r="L169" s="14"/>
      <c r="M169" s="14"/>
      <c r="N169" s="14"/>
      <c r="O169" s="58">
        <v>11.24</v>
      </c>
      <c r="P169" s="58">
        <f>O169*H169</f>
        <v>44.96</v>
      </c>
      <c r="Q169" s="58">
        <v>12.36</v>
      </c>
      <c r="R169" s="58">
        <f>H169*Q169</f>
        <v>49.44</v>
      </c>
      <c r="S169" s="15">
        <v>2.137</v>
      </c>
      <c r="T169" s="70">
        <f>H169*S169</f>
        <v>8.548</v>
      </c>
      <c r="U169" s="15">
        <f>T169*0.0283</f>
        <v>0.2419084</v>
      </c>
      <c r="V169" s="16"/>
      <c r="W169" s="50" t="s">
        <v>42</v>
      </c>
    </row>
    <row r="170" spans="1:23" ht="24" customHeight="1">
      <c r="A170" s="9">
        <v>166</v>
      </c>
      <c r="B170" s="10">
        <v>54500</v>
      </c>
      <c r="C170" s="56" t="s">
        <v>195</v>
      </c>
      <c r="D170" s="10" t="s">
        <v>196</v>
      </c>
      <c r="E170" s="11" t="s">
        <v>68</v>
      </c>
      <c r="F170" s="12">
        <v>52</v>
      </c>
      <c r="G170" s="13">
        <v>4</v>
      </c>
      <c r="H170" s="12">
        <f>F170/G170</f>
        <v>13</v>
      </c>
      <c r="I170" s="14"/>
      <c r="J170" s="14"/>
      <c r="K170" s="14"/>
      <c r="L170" s="14"/>
      <c r="M170" s="14"/>
      <c r="N170" s="14"/>
      <c r="O170" s="58">
        <v>5.12</v>
      </c>
      <c r="P170" s="58">
        <f>O170*H170</f>
        <v>66.56</v>
      </c>
      <c r="Q170" s="58">
        <v>5.8</v>
      </c>
      <c r="R170" s="58">
        <f>H170*Q170</f>
        <v>75.399999999999991</v>
      </c>
      <c r="S170" s="15">
        <v>0.87</v>
      </c>
      <c r="T170" s="70">
        <f>H170*S170</f>
        <v>11.31</v>
      </c>
      <c r="U170" s="15">
        <f>T170*0.0283</f>
        <v>0.320073</v>
      </c>
      <c r="V170" s="16"/>
      <c r="W170" s="50" t="s">
        <v>42</v>
      </c>
    </row>
    <row r="171" spans="1:23" ht="24" customHeight="1">
      <c r="A171" s="9">
        <v>167</v>
      </c>
      <c r="B171" s="10">
        <v>54514</v>
      </c>
      <c r="C171" s="56" t="s">
        <v>197</v>
      </c>
      <c r="D171" s="10" t="s">
        <v>196</v>
      </c>
      <c r="E171" s="11" t="s">
        <v>70</v>
      </c>
      <c r="F171" s="12">
        <v>12</v>
      </c>
      <c r="G171" s="13">
        <v>4</v>
      </c>
      <c r="H171" s="12">
        <f>F171/G171</f>
        <v>3</v>
      </c>
      <c r="I171" s="14"/>
      <c r="J171" s="14"/>
      <c r="K171" s="14"/>
      <c r="L171" s="14"/>
      <c r="M171" s="14"/>
      <c r="N171" s="14"/>
      <c r="O171" s="58">
        <v>9.32</v>
      </c>
      <c r="P171" s="58">
        <f>O171*H171</f>
        <v>27.96</v>
      </c>
      <c r="Q171" s="58">
        <v>10.26</v>
      </c>
      <c r="R171" s="58">
        <f>H171*Q171</f>
        <v>30.78</v>
      </c>
      <c r="S171" s="15">
        <v>1.6890000000000001</v>
      </c>
      <c r="T171" s="70">
        <f>H171*S171</f>
        <v>5.0670000000000002</v>
      </c>
      <c r="U171" s="15">
        <f>T171*0.0283</f>
        <v>0.1433961</v>
      </c>
      <c r="V171" s="16"/>
      <c r="W171" s="50" t="s">
        <v>42</v>
      </c>
    </row>
    <row r="172" spans="1:23" ht="24" customHeight="1">
      <c r="A172" s="9">
        <v>168</v>
      </c>
      <c r="B172" s="10">
        <v>54276</v>
      </c>
      <c r="C172" s="56" t="s">
        <v>242</v>
      </c>
      <c r="D172" s="10" t="s">
        <v>243</v>
      </c>
      <c r="E172" s="11" t="s">
        <v>244</v>
      </c>
      <c r="F172" s="12">
        <v>180</v>
      </c>
      <c r="G172" s="13">
        <v>20</v>
      </c>
      <c r="H172" s="12">
        <f>F172/G172</f>
        <v>9</v>
      </c>
      <c r="I172" s="14"/>
      <c r="J172" s="14"/>
      <c r="K172" s="14"/>
      <c r="L172" s="14"/>
      <c r="M172" s="14"/>
      <c r="N172" s="14"/>
      <c r="O172" s="58">
        <v>1</v>
      </c>
      <c r="P172" s="58">
        <f>O172*H172</f>
        <v>9</v>
      </c>
      <c r="Q172" s="58">
        <v>1.2</v>
      </c>
      <c r="R172" s="58">
        <f>H172*Q172</f>
        <v>10.799999999999999</v>
      </c>
      <c r="S172" s="15">
        <v>9.8000000000000004E-2</v>
      </c>
      <c r="T172" s="70">
        <f>H172*S172</f>
        <v>0.88200000000000001</v>
      </c>
      <c r="U172" s="15">
        <f>T172*0.0283</f>
        <v>2.4960599999999999E-2</v>
      </c>
      <c r="V172" s="16"/>
      <c r="W172" s="50" t="s">
        <v>42</v>
      </c>
    </row>
    <row r="173" spans="1:23" ht="24" customHeight="1">
      <c r="A173" s="9">
        <v>169</v>
      </c>
      <c r="B173" s="10">
        <v>54277</v>
      </c>
      <c r="C173" s="56" t="s">
        <v>245</v>
      </c>
      <c r="D173" s="10" t="s">
        <v>243</v>
      </c>
      <c r="E173" s="11" t="s">
        <v>246</v>
      </c>
      <c r="F173" s="12">
        <v>440</v>
      </c>
      <c r="G173" s="13">
        <v>20</v>
      </c>
      <c r="H173" s="12">
        <f>F173/G173</f>
        <v>22</v>
      </c>
      <c r="I173" s="14"/>
      <c r="J173" s="14"/>
      <c r="K173" s="14"/>
      <c r="L173" s="14"/>
      <c r="M173" s="14"/>
      <c r="N173" s="14"/>
      <c r="O173" s="58">
        <v>1.2</v>
      </c>
      <c r="P173" s="58">
        <f>O173*H173</f>
        <v>26.4</v>
      </c>
      <c r="Q173" s="58">
        <v>1.46</v>
      </c>
      <c r="R173" s="58">
        <f>H173*Q173</f>
        <v>32.119999999999997</v>
      </c>
      <c r="S173" s="15">
        <v>0.17799999999999999</v>
      </c>
      <c r="T173" s="70">
        <f>H173*S173</f>
        <v>3.9159999999999999</v>
      </c>
      <c r="U173" s="15">
        <f>T173*0.0283</f>
        <v>0.1108228</v>
      </c>
      <c r="V173" s="16"/>
      <c r="W173" s="50" t="s">
        <v>42</v>
      </c>
    </row>
    <row r="174" spans="1:23" ht="24" customHeight="1">
      <c r="A174" s="9">
        <v>170</v>
      </c>
      <c r="B174" s="10">
        <v>54278</v>
      </c>
      <c r="C174" s="56" t="s">
        <v>247</v>
      </c>
      <c r="D174" s="10" t="s">
        <v>243</v>
      </c>
      <c r="E174" s="11" t="s">
        <v>62</v>
      </c>
      <c r="F174" s="12">
        <v>200</v>
      </c>
      <c r="G174" s="13">
        <v>20</v>
      </c>
      <c r="H174" s="12">
        <f>F174/G174</f>
        <v>10</v>
      </c>
      <c r="I174" s="14"/>
      <c r="J174" s="14"/>
      <c r="K174" s="14"/>
      <c r="L174" s="14"/>
      <c r="M174" s="14"/>
      <c r="N174" s="14"/>
      <c r="O174" s="58">
        <v>1.4</v>
      </c>
      <c r="P174" s="58">
        <f>O174*H174</f>
        <v>14</v>
      </c>
      <c r="Q174" s="58">
        <v>1.73</v>
      </c>
      <c r="R174" s="58">
        <f>H174*Q174</f>
        <v>17.3</v>
      </c>
      <c r="S174" s="15">
        <v>0.23699999999999999</v>
      </c>
      <c r="T174" s="70">
        <f>H174*S174</f>
        <v>2.37</v>
      </c>
      <c r="U174" s="15">
        <f>T174*0.0283</f>
        <v>6.7071000000000006E-2</v>
      </c>
      <c r="V174" s="16"/>
      <c r="W174" s="50" t="s">
        <v>42</v>
      </c>
    </row>
    <row r="175" spans="1:23" ht="24" customHeight="1">
      <c r="A175" s="9">
        <v>171</v>
      </c>
      <c r="B175" s="10">
        <v>54279</v>
      </c>
      <c r="C175" s="56" t="s">
        <v>248</v>
      </c>
      <c r="D175" s="10" t="s">
        <v>243</v>
      </c>
      <c r="E175" s="11" t="s">
        <v>249</v>
      </c>
      <c r="F175" s="12">
        <v>120</v>
      </c>
      <c r="G175" s="13">
        <v>20</v>
      </c>
      <c r="H175" s="12">
        <f>F175/G175</f>
        <v>6</v>
      </c>
      <c r="I175" s="14"/>
      <c r="J175" s="14"/>
      <c r="K175" s="14"/>
      <c r="L175" s="14"/>
      <c r="M175" s="14"/>
      <c r="N175" s="14"/>
      <c r="O175" s="58">
        <v>1.6</v>
      </c>
      <c r="P175" s="58">
        <f>O175*H175</f>
        <v>9.6000000000000014</v>
      </c>
      <c r="Q175" s="58">
        <v>2</v>
      </c>
      <c r="R175" s="58">
        <f>H175*Q175</f>
        <v>12</v>
      </c>
      <c r="S175" s="15">
        <v>0.30099999999999999</v>
      </c>
      <c r="T175" s="70">
        <f>H175*S175</f>
        <v>1.806</v>
      </c>
      <c r="U175" s="15">
        <f>T175*0.0283</f>
        <v>5.1109799999999997E-2</v>
      </c>
      <c r="V175" s="16"/>
      <c r="W175" s="50" t="s">
        <v>42</v>
      </c>
    </row>
    <row r="176" spans="1:23" ht="24" customHeight="1">
      <c r="A176" s="9">
        <v>172</v>
      </c>
      <c r="B176" s="10">
        <v>54280</v>
      </c>
      <c r="C176" s="56" t="s">
        <v>250</v>
      </c>
      <c r="D176" s="10" t="s">
        <v>243</v>
      </c>
      <c r="E176" s="11" t="s">
        <v>251</v>
      </c>
      <c r="F176" s="12">
        <v>60</v>
      </c>
      <c r="G176" s="13">
        <v>20</v>
      </c>
      <c r="H176" s="12">
        <f>F176/G176</f>
        <v>3</v>
      </c>
      <c r="I176" s="14"/>
      <c r="J176" s="14"/>
      <c r="K176" s="14"/>
      <c r="L176" s="14"/>
      <c r="M176" s="14"/>
      <c r="N176" s="14"/>
      <c r="O176" s="58">
        <v>2</v>
      </c>
      <c r="P176" s="58">
        <f>O176*H176</f>
        <v>6</v>
      </c>
      <c r="Q176" s="58">
        <v>2.4699999999999998</v>
      </c>
      <c r="R176" s="58">
        <f>H176*Q176</f>
        <v>7.4099999999999993</v>
      </c>
      <c r="S176" s="15">
        <v>0.36599999999999999</v>
      </c>
      <c r="T176" s="70">
        <f>H176*S176</f>
        <v>1.0979999999999999</v>
      </c>
      <c r="U176" s="15">
        <f>T176*0.0283</f>
        <v>3.1073399999999994E-2</v>
      </c>
      <c r="V176" s="16"/>
      <c r="W176" s="50" t="s">
        <v>42</v>
      </c>
    </row>
    <row r="177" spans="1:23" ht="24" customHeight="1">
      <c r="A177" s="9">
        <v>173</v>
      </c>
      <c r="B177" s="10">
        <v>453187</v>
      </c>
      <c r="C177" s="56" t="s">
        <v>137</v>
      </c>
      <c r="D177" s="10" t="s">
        <v>138</v>
      </c>
      <c r="E177" s="11" t="s">
        <v>139</v>
      </c>
      <c r="F177" s="12">
        <v>38</v>
      </c>
      <c r="G177" s="13">
        <v>1</v>
      </c>
      <c r="H177" s="12">
        <f>F177/G177</f>
        <v>38</v>
      </c>
      <c r="I177" s="14"/>
      <c r="J177" s="14"/>
      <c r="K177" s="14"/>
      <c r="L177" s="14"/>
      <c r="M177" s="14"/>
      <c r="N177" s="14"/>
      <c r="O177" s="58">
        <v>8.8000000000000007</v>
      </c>
      <c r="P177" s="58">
        <f>O177*H177</f>
        <v>334.40000000000003</v>
      </c>
      <c r="Q177" s="58">
        <v>9.4</v>
      </c>
      <c r="R177" s="58">
        <f>H177*Q177</f>
        <v>357.2</v>
      </c>
      <c r="S177" s="15">
        <v>1.2130000000000001</v>
      </c>
      <c r="T177" s="70">
        <f>H177*S177</f>
        <v>46.094000000000001</v>
      </c>
      <c r="U177" s="15">
        <f>T177*0.0283</f>
        <v>1.3044602000000001</v>
      </c>
      <c r="V177" s="16"/>
      <c r="W177" s="50" t="s">
        <v>42</v>
      </c>
    </row>
    <row r="178" spans="1:23" ht="24" customHeight="1">
      <c r="A178" s="9">
        <v>174</v>
      </c>
      <c r="B178" s="10">
        <v>102655</v>
      </c>
      <c r="C178" s="56" t="s">
        <v>319</v>
      </c>
      <c r="D178" s="10" t="s">
        <v>315</v>
      </c>
      <c r="E178" s="11" t="s">
        <v>320</v>
      </c>
      <c r="F178" s="12">
        <v>14</v>
      </c>
      <c r="G178" s="13">
        <v>2</v>
      </c>
      <c r="H178" s="12">
        <f>F178/G178</f>
        <v>7</v>
      </c>
      <c r="I178" s="14"/>
      <c r="J178" s="14"/>
      <c r="K178" s="14"/>
      <c r="L178" s="14"/>
      <c r="M178" s="14"/>
      <c r="N178" s="14"/>
      <c r="O178" s="58">
        <v>7</v>
      </c>
      <c r="P178" s="58">
        <f>O178*H178</f>
        <v>49</v>
      </c>
      <c r="Q178" s="58">
        <v>7.6</v>
      </c>
      <c r="R178" s="58">
        <f>H178*Q178</f>
        <v>53.199999999999996</v>
      </c>
      <c r="S178" s="15">
        <v>0.97799999999999998</v>
      </c>
      <c r="T178" s="70">
        <f>H178*S178</f>
        <v>6.8460000000000001</v>
      </c>
      <c r="U178" s="15">
        <f>T178*0.0283</f>
        <v>0.19374179999999999</v>
      </c>
      <c r="V178" s="16"/>
      <c r="W178" s="50" t="s">
        <v>42</v>
      </c>
    </row>
    <row r="179" spans="1:23" ht="24" customHeight="1">
      <c r="A179" s="9">
        <v>175</v>
      </c>
      <c r="B179" s="10">
        <v>453186</v>
      </c>
      <c r="C179" s="56" t="s">
        <v>311</v>
      </c>
      <c r="D179" s="10" t="s">
        <v>312</v>
      </c>
      <c r="E179" s="11" t="s">
        <v>313</v>
      </c>
      <c r="F179" s="12">
        <v>58</v>
      </c>
      <c r="G179" s="13">
        <v>1</v>
      </c>
      <c r="H179" s="12">
        <f>F179/G179</f>
        <v>58</v>
      </c>
      <c r="I179" s="14"/>
      <c r="J179" s="14"/>
      <c r="K179" s="14"/>
      <c r="L179" s="14"/>
      <c r="M179" s="14"/>
      <c r="N179" s="14"/>
      <c r="O179" s="58">
        <v>7.1</v>
      </c>
      <c r="P179" s="58">
        <f>O179*H179</f>
        <v>411.79999999999995</v>
      </c>
      <c r="Q179" s="58">
        <v>7.6</v>
      </c>
      <c r="R179" s="58">
        <f>H179*Q179</f>
        <v>440.79999999999995</v>
      </c>
      <c r="S179" s="15">
        <v>0.92800000000000005</v>
      </c>
      <c r="T179" s="70">
        <f>H179*S179</f>
        <v>53.824000000000005</v>
      </c>
      <c r="U179" s="15">
        <f>T179*0.0283</f>
        <v>1.5232192</v>
      </c>
      <c r="V179" s="16"/>
      <c r="W179" s="50" t="s">
        <v>42</v>
      </c>
    </row>
    <row r="180" spans="1:23" ht="24" customHeight="1">
      <c r="A180" s="9">
        <v>176</v>
      </c>
      <c r="B180" s="10">
        <v>102656</v>
      </c>
      <c r="C180" s="56" t="s">
        <v>321</v>
      </c>
      <c r="D180" s="10" t="s">
        <v>315</v>
      </c>
      <c r="E180" s="11" t="s">
        <v>316</v>
      </c>
      <c r="F180" s="12">
        <v>34</v>
      </c>
      <c r="G180" s="13">
        <v>2</v>
      </c>
      <c r="H180" s="12">
        <f>F180/G180</f>
        <v>17</v>
      </c>
      <c r="I180" s="14"/>
      <c r="J180" s="14"/>
      <c r="K180" s="14"/>
      <c r="L180" s="14"/>
      <c r="M180" s="14"/>
      <c r="N180" s="14"/>
      <c r="O180" s="58">
        <v>8.4</v>
      </c>
      <c r="P180" s="58">
        <f>O180*H180</f>
        <v>142.80000000000001</v>
      </c>
      <c r="Q180" s="58">
        <v>9.1</v>
      </c>
      <c r="R180" s="58">
        <f>H180*Q180</f>
        <v>154.69999999999999</v>
      </c>
      <c r="S180" s="15">
        <v>1.2189999999999999</v>
      </c>
      <c r="T180" s="70">
        <f>H180*S180</f>
        <v>20.722999999999999</v>
      </c>
      <c r="U180" s="15">
        <f>T180*0.0283</f>
        <v>0.58646089999999995</v>
      </c>
      <c r="V180" s="16"/>
      <c r="W180" s="50" t="s">
        <v>42</v>
      </c>
    </row>
    <row r="181" spans="1:23" ht="24" customHeight="1">
      <c r="A181" s="9">
        <v>177</v>
      </c>
      <c r="B181" s="10">
        <v>94163</v>
      </c>
      <c r="C181" s="56" t="s">
        <v>314</v>
      </c>
      <c r="D181" s="10" t="s">
        <v>315</v>
      </c>
      <c r="E181" s="11" t="s">
        <v>316</v>
      </c>
      <c r="F181" s="12">
        <v>16</v>
      </c>
      <c r="G181" s="13">
        <v>2</v>
      </c>
      <c r="H181" s="12">
        <f>F181/G181</f>
        <v>8</v>
      </c>
      <c r="I181" s="14"/>
      <c r="J181" s="14"/>
      <c r="K181" s="14"/>
      <c r="L181" s="14"/>
      <c r="M181" s="14"/>
      <c r="N181" s="14"/>
      <c r="O181" s="58">
        <v>8.4</v>
      </c>
      <c r="P181" s="58">
        <f>O181*H181</f>
        <v>67.2</v>
      </c>
      <c r="Q181" s="58">
        <v>9.1</v>
      </c>
      <c r="R181" s="58">
        <f>H181*Q181</f>
        <v>72.8</v>
      </c>
      <c r="S181" s="15">
        <v>1.2189999999999999</v>
      </c>
      <c r="T181" s="70">
        <f>H181*S181</f>
        <v>9.7519999999999989</v>
      </c>
      <c r="U181" s="15">
        <f>T181*0.0283</f>
        <v>0.27598159999999994</v>
      </c>
      <c r="V181" s="16"/>
      <c r="W181" s="50" t="s">
        <v>42</v>
      </c>
    </row>
    <row r="182" spans="1:23" ht="24" customHeight="1">
      <c r="A182" s="9">
        <v>178</v>
      </c>
      <c r="B182" s="10">
        <v>487334</v>
      </c>
      <c r="C182" s="56" t="s">
        <v>309</v>
      </c>
      <c r="D182" s="10" t="s">
        <v>310</v>
      </c>
      <c r="E182" s="11" t="s">
        <v>45</v>
      </c>
      <c r="F182" s="12">
        <v>36</v>
      </c>
      <c r="G182" s="13">
        <v>2</v>
      </c>
      <c r="H182" s="12">
        <f>F182/G182</f>
        <v>18</v>
      </c>
      <c r="I182" s="14"/>
      <c r="J182" s="14"/>
      <c r="K182" s="14"/>
      <c r="L182" s="14"/>
      <c r="M182" s="14"/>
      <c r="N182" s="14"/>
      <c r="O182" s="58">
        <v>30.8</v>
      </c>
      <c r="P182" s="58">
        <f>O182*H182</f>
        <v>554.4</v>
      </c>
      <c r="Q182" s="58">
        <v>33.700000000000003</v>
      </c>
      <c r="R182" s="58">
        <f>H182*Q182</f>
        <v>606.6</v>
      </c>
      <c r="S182" s="15">
        <v>4.6210000000000004</v>
      </c>
      <c r="T182" s="70">
        <f>H182*S182</f>
        <v>83.178000000000011</v>
      </c>
      <c r="U182" s="15">
        <f>T182*0.0283</f>
        <v>2.3539374000000004</v>
      </c>
      <c r="V182" s="16"/>
      <c r="W182" s="50" t="s">
        <v>42</v>
      </c>
    </row>
    <row r="183" spans="1:23" ht="24" customHeight="1">
      <c r="A183" s="9">
        <v>179</v>
      </c>
      <c r="B183" s="10">
        <v>102690</v>
      </c>
      <c r="C183" s="56" t="s">
        <v>322</v>
      </c>
      <c r="D183" s="10" t="s">
        <v>315</v>
      </c>
      <c r="E183" s="11" t="s">
        <v>318</v>
      </c>
      <c r="F183" s="12">
        <v>10</v>
      </c>
      <c r="G183" s="13">
        <v>2</v>
      </c>
      <c r="H183" s="12">
        <f>F183/G183</f>
        <v>5</v>
      </c>
      <c r="I183" s="14"/>
      <c r="J183" s="14"/>
      <c r="K183" s="14"/>
      <c r="L183" s="14"/>
      <c r="M183" s="14"/>
      <c r="N183" s="14"/>
      <c r="O183" s="58">
        <v>9.9</v>
      </c>
      <c r="P183" s="58">
        <f>O183*H183</f>
        <v>49.5</v>
      </c>
      <c r="Q183" s="58">
        <v>10.7</v>
      </c>
      <c r="R183" s="58">
        <f>H183*Q183</f>
        <v>53.5</v>
      </c>
      <c r="S183" s="15">
        <v>1.448</v>
      </c>
      <c r="T183" s="70">
        <f>H183*S183</f>
        <v>7.24</v>
      </c>
      <c r="U183" s="15">
        <f>T183*0.0283</f>
        <v>0.20489199999999999</v>
      </c>
      <c r="V183" s="16"/>
      <c r="W183" s="50" t="s">
        <v>42</v>
      </c>
    </row>
    <row r="184" spans="1:23" ht="24" customHeight="1">
      <c r="A184" s="9">
        <v>180</v>
      </c>
      <c r="B184" s="10">
        <v>97733</v>
      </c>
      <c r="C184" s="56" t="s">
        <v>317</v>
      </c>
      <c r="D184" s="10" t="s">
        <v>315</v>
      </c>
      <c r="E184" s="11" t="s">
        <v>318</v>
      </c>
      <c r="F184" s="12">
        <v>20</v>
      </c>
      <c r="G184" s="13">
        <v>2</v>
      </c>
      <c r="H184" s="12">
        <f>F184/G184</f>
        <v>10</v>
      </c>
      <c r="I184" s="14"/>
      <c r="J184" s="14"/>
      <c r="K184" s="14"/>
      <c r="L184" s="14"/>
      <c r="M184" s="14"/>
      <c r="N184" s="14"/>
      <c r="O184" s="58">
        <v>9.9</v>
      </c>
      <c r="P184" s="58">
        <f>O184*H184</f>
        <v>99</v>
      </c>
      <c r="Q184" s="58">
        <v>10.7</v>
      </c>
      <c r="R184" s="58">
        <f>H184*Q184</f>
        <v>107</v>
      </c>
      <c r="S184" s="15">
        <v>1.448</v>
      </c>
      <c r="T184" s="70">
        <f>H184*S184</f>
        <v>14.48</v>
      </c>
      <c r="U184" s="15">
        <f>T184*0.0283</f>
        <v>0.40978399999999998</v>
      </c>
      <c r="V184" s="16"/>
      <c r="W184" s="50" t="s">
        <v>203</v>
      </c>
    </row>
    <row r="185" spans="1:23" ht="24" customHeight="1">
      <c r="A185" s="3"/>
      <c r="B185" s="17"/>
      <c r="C185" s="57"/>
      <c r="D185" s="4"/>
      <c r="E185" s="18"/>
      <c r="F185" s="19"/>
      <c r="G185" s="3"/>
      <c r="H185" s="19"/>
      <c r="I185" s="7"/>
      <c r="J185" s="7"/>
      <c r="K185" s="7"/>
      <c r="L185" s="7"/>
      <c r="M185" s="7"/>
      <c r="N185" s="7"/>
      <c r="O185" s="60"/>
      <c r="P185" s="60"/>
      <c r="Q185" s="60"/>
      <c r="R185" s="60"/>
      <c r="S185" s="21"/>
      <c r="T185" s="20"/>
      <c r="U185" s="21"/>
      <c r="V185" s="22"/>
      <c r="W185" s="50"/>
    </row>
    <row r="186" spans="1:23" ht="24" customHeight="1">
      <c r="A186" s="23"/>
      <c r="B186" s="86" t="s">
        <v>401</v>
      </c>
      <c r="C186" s="86"/>
      <c r="D186" s="86"/>
      <c r="E186" s="24"/>
      <c r="F186" s="55"/>
      <c r="G186" s="55"/>
      <c r="H186" s="55"/>
      <c r="I186" s="55"/>
      <c r="J186" s="25"/>
      <c r="K186" s="25"/>
      <c r="L186" s="25"/>
      <c r="M186" s="25"/>
      <c r="N186" s="25"/>
      <c r="O186" s="61"/>
      <c r="P186" s="61"/>
      <c r="Q186" s="61"/>
      <c r="R186" s="61"/>
      <c r="S186" s="74"/>
      <c r="T186" s="35"/>
      <c r="U186" s="26"/>
      <c r="V186" s="27"/>
      <c r="W186" s="50"/>
    </row>
    <row r="187" spans="1:23" ht="24" customHeight="1">
      <c r="A187" s="23"/>
      <c r="B187" s="28"/>
      <c r="C187" s="28"/>
      <c r="D187" s="28"/>
      <c r="E187" s="24"/>
      <c r="F187" s="54"/>
      <c r="G187" s="54"/>
      <c r="H187" s="54"/>
      <c r="I187" s="54"/>
      <c r="J187" s="25"/>
      <c r="K187" s="25"/>
      <c r="L187" s="25"/>
      <c r="M187" s="25"/>
      <c r="N187" s="25"/>
      <c r="O187" s="61"/>
      <c r="P187" s="61"/>
      <c r="Q187" s="61"/>
      <c r="R187" s="61"/>
      <c r="S187" s="74"/>
      <c r="T187" s="35"/>
      <c r="U187" s="26"/>
      <c r="V187" s="27"/>
      <c r="W187" s="50"/>
    </row>
    <row r="188" spans="1:23" ht="24" customHeight="1">
      <c r="A188" s="3"/>
      <c r="B188" s="8"/>
      <c r="C188" s="30" t="s">
        <v>24</v>
      </c>
      <c r="D188" s="31"/>
      <c r="E188" s="32"/>
      <c r="F188" s="33"/>
      <c r="G188" s="23"/>
      <c r="H188" s="23"/>
      <c r="I188" s="34"/>
      <c r="J188" s="34"/>
      <c r="K188" s="34"/>
      <c r="L188" s="34"/>
      <c r="M188" s="34"/>
      <c r="N188" s="34"/>
      <c r="O188" s="62"/>
      <c r="P188" s="62"/>
      <c r="Q188" s="62"/>
      <c r="R188" s="84" t="s">
        <v>25</v>
      </c>
      <c r="S188" s="84"/>
      <c r="T188" s="35"/>
      <c r="U188" s="29"/>
      <c r="V188" s="36"/>
      <c r="W188" s="50"/>
    </row>
    <row r="189" spans="1:23" ht="24" customHeight="1">
      <c r="A189" s="8"/>
      <c r="B189" s="8"/>
      <c r="C189" s="37" t="s">
        <v>26</v>
      </c>
      <c r="D189" s="31"/>
      <c r="E189" s="32"/>
      <c r="F189" s="33"/>
      <c r="G189" s="23"/>
      <c r="H189" s="23"/>
      <c r="I189" s="34"/>
      <c r="J189" s="34"/>
      <c r="K189" s="34"/>
      <c r="L189" s="34"/>
      <c r="M189" s="34"/>
      <c r="N189" s="34"/>
      <c r="O189" s="62"/>
      <c r="P189" s="62"/>
      <c r="Q189" s="62"/>
      <c r="R189" s="84" t="s">
        <v>27</v>
      </c>
      <c r="S189" s="84"/>
      <c r="T189" s="35"/>
      <c r="U189" s="29"/>
      <c r="V189" s="36"/>
      <c r="W189" s="50"/>
    </row>
    <row r="190" spans="1:23" ht="24" customHeight="1">
      <c r="A190" s="8"/>
      <c r="B190" s="8"/>
      <c r="C190" s="38" t="s">
        <v>28</v>
      </c>
      <c r="D190" s="31"/>
      <c r="E190" s="32"/>
      <c r="F190" s="39"/>
      <c r="G190" s="23"/>
      <c r="H190" s="23"/>
      <c r="I190" s="34"/>
      <c r="J190" s="34"/>
      <c r="K190" s="34"/>
      <c r="L190" s="34"/>
      <c r="M190" s="34"/>
      <c r="N190" s="34"/>
      <c r="O190" s="62"/>
      <c r="P190" s="62"/>
      <c r="Q190" s="62"/>
      <c r="R190" s="84" t="s">
        <v>29</v>
      </c>
      <c r="S190" s="84"/>
      <c r="T190" s="35"/>
      <c r="U190" s="29"/>
      <c r="V190" s="36"/>
      <c r="W190" s="50"/>
    </row>
    <row r="191" spans="1:23" ht="24" customHeight="1">
      <c r="A191" s="23"/>
      <c r="B191" s="40"/>
      <c r="C191" s="38" t="s">
        <v>30</v>
      </c>
      <c r="D191" s="31"/>
      <c r="E191" s="41"/>
      <c r="F191" s="8"/>
      <c r="G191" s="23"/>
      <c r="H191" s="23"/>
      <c r="I191" s="23"/>
      <c r="J191" s="23"/>
      <c r="K191" s="23"/>
      <c r="L191" s="23"/>
      <c r="M191" s="23"/>
      <c r="N191" s="23"/>
      <c r="O191" s="63"/>
      <c r="P191" s="62"/>
      <c r="Q191" s="62"/>
      <c r="R191" s="84" t="s">
        <v>31</v>
      </c>
      <c r="S191" s="84"/>
      <c r="T191" s="35"/>
      <c r="U191" s="29"/>
      <c r="V191" s="42"/>
      <c r="W191" s="50"/>
    </row>
    <row r="192" spans="1:23" ht="24" customHeight="1">
      <c r="A192" s="23"/>
      <c r="B192" s="30"/>
      <c r="C192" s="30"/>
      <c r="D192" s="85" t="s">
        <v>400</v>
      </c>
      <c r="E192" s="85"/>
      <c r="F192" s="85"/>
      <c r="G192" s="85"/>
      <c r="H192" s="43"/>
      <c r="I192" s="43"/>
      <c r="J192" s="43"/>
      <c r="K192" s="43"/>
      <c r="L192" s="43"/>
      <c r="M192" s="43"/>
      <c r="N192" s="43"/>
      <c r="O192" s="64"/>
      <c r="P192" s="64"/>
      <c r="Q192" s="64"/>
      <c r="R192" s="64"/>
      <c r="S192" s="29"/>
      <c r="T192" s="35"/>
      <c r="U192" s="29"/>
      <c r="V192" s="44"/>
      <c r="W192" s="50"/>
    </row>
    <row r="193" spans="1:23" ht="18.75">
      <c r="A193" s="45"/>
      <c r="B193" s="46"/>
      <c r="C193" s="45" t="s">
        <v>32</v>
      </c>
      <c r="D193" s="45" t="s">
        <v>32</v>
      </c>
      <c r="E193" s="45"/>
      <c r="F193" s="53">
        <v>40063</v>
      </c>
      <c r="G193" s="45"/>
      <c r="H193" s="53">
        <v>10559</v>
      </c>
      <c r="I193" s="45"/>
      <c r="J193" s="45"/>
      <c r="K193" s="45"/>
      <c r="L193" s="45"/>
      <c r="M193" s="45"/>
      <c r="N193" s="45"/>
      <c r="O193" s="65"/>
      <c r="P193" s="51">
        <v>74289.14</v>
      </c>
      <c r="Q193" s="68"/>
      <c r="R193" s="51">
        <v>81334.58</v>
      </c>
      <c r="S193" s="75"/>
      <c r="T193" s="71">
        <v>13061.913</v>
      </c>
      <c r="U193" s="77">
        <v>369.65213789999996</v>
      </c>
      <c r="V193" s="45"/>
      <c r="W193" s="52" t="s">
        <v>35</v>
      </c>
    </row>
  </sheetData>
  <autoFilter ref="A4:X4">
    <sortState ref="A5:X184">
      <sortCondition ref="C4"/>
    </sortState>
  </autoFilter>
  <mergeCells count="13">
    <mergeCell ref="R191:S191"/>
    <mergeCell ref="D192:G192"/>
    <mergeCell ref="B186:D186"/>
    <mergeCell ref="R188:S188"/>
    <mergeCell ref="R189:S189"/>
    <mergeCell ref="R190:S190"/>
    <mergeCell ref="A1:W1"/>
    <mergeCell ref="A2:W2"/>
    <mergeCell ref="A3:B3"/>
    <mergeCell ref="C3:D3"/>
    <mergeCell ref="E3:R3"/>
    <mergeCell ref="S3:T3"/>
    <mergeCell ref="U3:W3"/>
  </mergeCells>
  <phoneticPr fontId="3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3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李明华</dc:creator>
  <cp:lastModifiedBy>Administrator</cp:lastModifiedBy>
  <cp:lastPrinted>2012-08-03T06:08:53Z</cp:lastPrinted>
  <dcterms:created xsi:type="dcterms:W3CDTF">2012-04-06T08:25:32Z</dcterms:created>
  <dcterms:modified xsi:type="dcterms:W3CDTF">2019-04-15T06:45:30Z</dcterms:modified>
</cp:coreProperties>
</file>